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eview" sheetId="2" state="visible" r:id="rId2"/>
    <sheet name="Definitio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2">
    <xf numFmtId="0" fontId="0" fillId="0" borderId="0"/>
    <xf numFmtId="0" fontId="3"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1"/>
    <xf numFmtId="0" fontId="0" fillId="3" borderId="0" pivotButton="0" quotePrefix="0" xfId="0"/>
    <xf numFmtId="0" fontId="2" fillId="0" borderId="0" pivotButton="0" quotePrefix="0" xfId="0"/>
    <xf numFmtId="0" fontId="0" fillId="3"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arlament.ch/de/ratsbetrieb/suche-curia-vista/geschaeft?AffairId=20214635" TargetMode="External" Id="rId1" /><Relationship Type="http://schemas.openxmlformats.org/officeDocument/2006/relationships/hyperlink" Target="https://www.parlament.ch/de/ratsbetrieb/suche-curia-vista/geschaeft?AffairId=20232031" TargetMode="External" Id="rId2" /><Relationship Type="http://schemas.openxmlformats.org/officeDocument/2006/relationships/hyperlink" Target="https://www.parlament.ch/de/ratsbetrieb/suche-curia-vista/geschaeft?AffairId=20254654" TargetMode="External" Id="rId3" /><Relationship Type="http://schemas.openxmlformats.org/officeDocument/2006/relationships/hyperlink" Target="https://www.parlament.ch/de/ratsbetrieb/suche-curia-vista/geschaeft?AffairId=20203308" TargetMode="External" Id="rId4" /><Relationship Type="http://schemas.openxmlformats.org/officeDocument/2006/relationships/hyperlink" Target="https://www.parlament.ch/de/ratsbetrieb/suche-curia-vista/geschaeft?AffairId=20224344" TargetMode="External" Id="rId5" /><Relationship Type="http://schemas.openxmlformats.org/officeDocument/2006/relationships/hyperlink" Target="https://www.parlament.ch/de/ratsbetrieb/suche-curia-vista/geschaeft?AffairId=20217051" TargetMode="External" Id="rId6" /><Relationship Type="http://schemas.openxmlformats.org/officeDocument/2006/relationships/hyperlink" Target="https://www.parlament.ch/de/ratsbetrieb/suche-curia-vista/geschaeft?AffairId=20237189" TargetMode="External" Id="rId7" /><Relationship Type="http://schemas.openxmlformats.org/officeDocument/2006/relationships/hyperlink" Target="https://www.parlament.ch/de/ratsbetrieb/suche-curia-vista/geschaeft?AffairId=20247311" TargetMode="External" Id="rId8" /><Relationship Type="http://schemas.openxmlformats.org/officeDocument/2006/relationships/hyperlink" Target="https://www.parlament.ch/de/ratsbetrieb/suche-curia-vista/geschaeft?AffairId=20233340" TargetMode="External" Id="rId9" /><Relationship Type="http://schemas.openxmlformats.org/officeDocument/2006/relationships/hyperlink" Target="https://www.parlament.ch/de/ratsbetrieb/suche-curia-vista/geschaeft?AffairId=20243655" TargetMode="External" Id="rId10" /><Relationship Type="http://schemas.openxmlformats.org/officeDocument/2006/relationships/hyperlink" Target="https://www.parlament.ch/de/ratsbetrieb/suche-curia-vista/geschaeft?AffairId=20214161" TargetMode="External" Id="rId11" /><Relationship Type="http://schemas.openxmlformats.org/officeDocument/2006/relationships/hyperlink" Target="https://www.parlament.ch/de/ratsbetrieb/suche-curia-vista/geschaeft?AffairId=20260070" TargetMode="External" Id="rId12" /><Relationship Type="http://schemas.openxmlformats.org/officeDocument/2006/relationships/hyperlink" Target="https://www.parlament.ch/de/ratsbetrieb/suche-curia-vista/geschaeft?AffairId=20193291" TargetMode="External" Id="rId13" /><Relationship Type="http://schemas.openxmlformats.org/officeDocument/2006/relationships/hyperlink" Target="https://www.parlament.ch/de/ratsbetrieb/suche-curia-vista/geschaeft?AffairId=20195150" TargetMode="External" Id="rId14" /><Relationship Type="http://schemas.openxmlformats.org/officeDocument/2006/relationships/hyperlink" Target="https://www.parlament.ch/de/ratsbetrieb/suche-curia-vista/geschaeft?AffairId=20233197" TargetMode="External" Id="rId15" /><Relationship Type="http://schemas.openxmlformats.org/officeDocument/2006/relationships/hyperlink" Target="https://www.parlament.ch/de/ratsbetrieb/suche-curia-vista/geschaeft?AffairId=20204242" TargetMode="External" Id="rId16" /><Relationship Type="http://schemas.openxmlformats.org/officeDocument/2006/relationships/hyperlink" Target="https://www.parlament.ch/de/ratsbetrieb/suche-curia-vista/geschaeft?AffairId=20214264" TargetMode="External" Id="rId17" /><Relationship Type="http://schemas.openxmlformats.org/officeDocument/2006/relationships/hyperlink" Target="https://www.parlament.ch/de/ratsbetrieb/suche-curia-vista/geschaeft?AffairId=20183334" TargetMode="External" Id="rId18" /><Relationship Type="http://schemas.openxmlformats.org/officeDocument/2006/relationships/hyperlink" Target="https://www.parlament.ch/de/ratsbetrieb/suche-curia-vista/geschaeft?AffairId=20183936" TargetMode="External" Id="rId19" /><Relationship Type="http://schemas.openxmlformats.org/officeDocument/2006/relationships/hyperlink" Target="https://www.parlament.ch/de/ratsbetrieb/suche-curia-vista/geschaeft?AffairId=20223532" TargetMode="External" Id="rId20" /><Relationship Type="http://schemas.openxmlformats.org/officeDocument/2006/relationships/hyperlink" Target="https://www.parlament.ch/de/ratsbetrieb/suche-curia-vista/geschaeft?AffairId=20244459" TargetMode="External" Id="rId21" /><Relationship Type="http://schemas.openxmlformats.org/officeDocument/2006/relationships/hyperlink" Target="https://www.parlament.ch/de/ratsbetrieb/suche-curia-vista/geschaeft?AffairId=20223760" TargetMode="External" Id="rId22" /><Relationship Type="http://schemas.openxmlformats.org/officeDocument/2006/relationships/hyperlink" Target="https://www.parlament.ch/de/ratsbetrieb/suche-curia-vista/geschaeft?AffairId=20251003" TargetMode="External" Id="rId23" /><Relationship Type="http://schemas.openxmlformats.org/officeDocument/2006/relationships/hyperlink" Target="https://www.parlament.ch/de/ratsbetrieb/suche-curia-vista/geschaeft?AffairId=20194392" TargetMode="External" Id="rId24" /><Relationship Type="http://schemas.openxmlformats.org/officeDocument/2006/relationships/hyperlink" Target="https://www.parlament.ch/de/ratsbetrieb/suche-curia-vista/geschaeft?AffairId=20201019" TargetMode="External" Id="rId25" /><Relationship Type="http://schemas.openxmlformats.org/officeDocument/2006/relationships/hyperlink" Target="https://www.parlament.ch/de/ratsbetrieb/suche-curia-vista/geschaeft?AffairId=20214414" TargetMode="External" Id="rId26" /><Relationship Type="http://schemas.openxmlformats.org/officeDocument/2006/relationships/hyperlink" Target="https://www.parlament.ch/de/ratsbetrieb/suche-curia-vista/geschaeft?AffairId=20200333" TargetMode="External" Id="rId27" /><Relationship Type="http://schemas.openxmlformats.org/officeDocument/2006/relationships/hyperlink" Target="https://www.parlament.ch/de/ratsbetrieb/suche-curia-vista/geschaeft?AffairId=20233552" TargetMode="External" Id="rId28" /><Relationship Type="http://schemas.openxmlformats.org/officeDocument/2006/relationships/hyperlink" Target="https://www.parlament.ch/de/ratsbetrieb/suche-curia-vista/geschaeft?AffairId=20190074" TargetMode="External" Id="rId29" /><Relationship Type="http://schemas.openxmlformats.org/officeDocument/2006/relationships/hyperlink" Target="https://www.parlament.ch/de/ratsbetrieb/suche-curia-vista/geschaeft?AffairId=20247300" TargetMode="External" Id="rId30" /><Relationship Type="http://schemas.openxmlformats.org/officeDocument/2006/relationships/hyperlink" Target="https://www.parlament.ch/de/ratsbetrieb/suche-curia-vista/geschaeft?AffairId=20267240" TargetMode="External" Id="rId31" /><Relationship Type="http://schemas.openxmlformats.org/officeDocument/2006/relationships/hyperlink" Target="https://www.parlament.ch/de/ratsbetrieb/suche-curia-vista/geschaeft?AffairId=20183360" TargetMode="External" Id="rId32" /><Relationship Type="http://schemas.openxmlformats.org/officeDocument/2006/relationships/hyperlink" Target="https://www.parlament.ch/de/ratsbetrieb/suche-curia-vista/geschaeft?AffairId=20193301" TargetMode="External" Id="rId33" /><Relationship Type="http://schemas.openxmlformats.org/officeDocument/2006/relationships/hyperlink" Target="https://www.parlament.ch/de/ratsbetrieb/suche-curia-vista/geschaeft?AffairId=20263577" TargetMode="External" Id="rId34" /><Relationship Type="http://schemas.openxmlformats.org/officeDocument/2006/relationships/hyperlink" Target="https://www.parlament.ch/de/ratsbetrieb/suche-curia-vista/geschaeft?AffairId=20183197" TargetMode="External" Id="rId35" /><Relationship Type="http://schemas.openxmlformats.org/officeDocument/2006/relationships/hyperlink" Target="https://www.parlament.ch/de/ratsbetrieb/suche-curia-vista/geschaeft?AffairId=20243989" TargetMode="External" Id="rId36" /><Relationship Type="http://schemas.openxmlformats.org/officeDocument/2006/relationships/hyperlink" Target="https://www.parlament.ch/de/ratsbetrieb/suche-curia-vista/geschaeft?AffairId=20240436" TargetMode="External" Id="rId37" /><Relationship Type="http://schemas.openxmlformats.org/officeDocument/2006/relationships/hyperlink" Target="https://www.parlament.ch/de/ratsbetrieb/suche-curia-vista/geschaeft?AffairId=20214483" TargetMode="External" Id="rId38" /><Relationship Type="http://schemas.openxmlformats.org/officeDocument/2006/relationships/hyperlink" Target="https://www.parlament.ch/de/ratsbetrieb/suche-curia-vista/geschaeft?AffairId=20194016" TargetMode="External" Id="rId39" /><Relationship Type="http://schemas.openxmlformats.org/officeDocument/2006/relationships/hyperlink" Target="https://www.parlament.ch/de/ratsbetrieb/suche-curia-vista/geschaeft?AffairId=20234389" TargetMode="External" Id="rId40" /><Relationship Type="http://schemas.openxmlformats.org/officeDocument/2006/relationships/hyperlink" Target="https://www.parlament.ch/de/ratsbetrieb/suche-curia-vista/geschaeft?AffairId=20195130" TargetMode="External" Id="rId41" /><Relationship Type="http://schemas.openxmlformats.org/officeDocument/2006/relationships/hyperlink" Target="https://www.parlament.ch/de/ratsbetrieb/suche-curia-vista/geschaeft?AffairId=20224177" TargetMode="External" Id="rId42" /><Relationship Type="http://schemas.openxmlformats.org/officeDocument/2006/relationships/hyperlink" Target="https://www.parlament.ch/de/ratsbetrieb/suche-curia-vista/geschaeft?AffairId=20263942" TargetMode="External" Id="rId43" /><Relationship Type="http://schemas.openxmlformats.org/officeDocument/2006/relationships/hyperlink" Target="https://www.parlament.ch/de/ratsbetrieb/suche-curia-vista/geschaeft?AffairId=20191049" TargetMode="External" Id="rId44" /><Relationship Type="http://schemas.openxmlformats.org/officeDocument/2006/relationships/hyperlink" Target="https://www.parlament.ch/de/ratsbetrieb/suche-curia-vista/geschaeft?AffairId=20244467" TargetMode="External" Id="rId45" /><Relationship Type="http://schemas.openxmlformats.org/officeDocument/2006/relationships/hyperlink" Target="https://www.parlament.ch/de/ratsbetrieb/suche-curia-vista/geschaeft?AffairId=20203098" TargetMode="External" Id="rId46" /><Relationship Type="http://schemas.openxmlformats.org/officeDocument/2006/relationships/hyperlink" Target="https://www.parlament.ch/de/ratsbetrieb/suche-curia-vista/geschaeft?AffairId=20200035" TargetMode="External" Id="rId47" /><Relationship Type="http://schemas.openxmlformats.org/officeDocument/2006/relationships/hyperlink" Target="https://www.parlament.ch/de/ratsbetrieb/suche-curia-vista/geschaeft?AffairId=20247014" TargetMode="External" Id="rId48" /><Relationship Type="http://schemas.openxmlformats.org/officeDocument/2006/relationships/hyperlink" Target="https://www.parlament.ch/de/ratsbetrieb/suche-curia-vista/geschaeft?AffairId=20223917" TargetMode="External" Id="rId49" /><Relationship Type="http://schemas.openxmlformats.org/officeDocument/2006/relationships/hyperlink" Target="https://www.parlament.ch/de/ratsbetrieb/suche-curia-vista/geschaeft?AffairId=20261050" TargetMode="External" Id="rId50" /><Relationship Type="http://schemas.openxmlformats.org/officeDocument/2006/relationships/hyperlink" Target="https://www.parlament.ch/de/ratsbetrieb/suche-curia-vista/geschaeft?AffairId=20210070" TargetMode="External" Id="rId51" /><Relationship Type="http://schemas.openxmlformats.org/officeDocument/2006/relationships/hyperlink" Target="https://www.parlament.ch/de/ratsbetrieb/suche-curia-vista/geschaeft?AffairId=20253409" TargetMode="External" Id="rId52" /><Relationship Type="http://schemas.openxmlformats.org/officeDocument/2006/relationships/hyperlink" Target="https://www.parlament.ch/de/ratsbetrieb/suche-curia-vista/geschaeft?AffairId=20254422" TargetMode="External" Id="rId53" /><Relationship Type="http://schemas.openxmlformats.org/officeDocument/2006/relationships/hyperlink" Target="https://www.parlament.ch/de/ratsbetrieb/suche-curia-vista/geschaeft?AffairId=20233866" TargetMode="External" Id="rId54" /><Relationship Type="http://schemas.openxmlformats.org/officeDocument/2006/relationships/hyperlink" Target="https://www.parlament.ch/de/ratsbetrieb/suche-curia-vista/geschaeft?AffairId=20200403" TargetMode="External" Id="rId55" /><Relationship Type="http://schemas.openxmlformats.org/officeDocument/2006/relationships/hyperlink" Target="https://www.parlament.ch/de/ratsbetrieb/suche-curia-vista/geschaeft?AffairId=20233375" TargetMode="External" Id="rId56" /><Relationship Type="http://schemas.openxmlformats.org/officeDocument/2006/relationships/hyperlink" Target="https://www.parlament.ch/de/ratsbetrieb/suche-curia-vista/geschaeft?AffairId=20237712" TargetMode="External" Id="rId57" /><Relationship Type="http://schemas.openxmlformats.org/officeDocument/2006/relationships/hyperlink" Target="https://www.parlament.ch/de/ratsbetrieb/suche-curia-vista/geschaeft?AffairId=20213040" TargetMode="External" Id="rId58" /><Relationship Type="http://schemas.openxmlformats.org/officeDocument/2006/relationships/hyperlink" Target="https://www.parlament.ch/de/ratsbetrieb/suche-curia-vista/geschaeft?AffairId=20253973" TargetMode="External" Id="rId59" /><Relationship Type="http://schemas.openxmlformats.org/officeDocument/2006/relationships/hyperlink" Target="https://www.parlament.ch/de/ratsbetrieb/suche-curia-vista/geschaeft?AffairId=20264192" TargetMode="External" Id="rId60" /><Relationship Type="http://schemas.openxmlformats.org/officeDocument/2006/relationships/hyperlink" Target="https://www.parlament.ch/de/ratsbetrieb/suche-curia-vista/geschaeft?AffairId=20223020" TargetMode="External" Id="rId61" /><Relationship Type="http://schemas.openxmlformats.org/officeDocument/2006/relationships/hyperlink" Target="https://www.parlament.ch/de/ratsbetrieb/suche-curia-vista/geschaeft?AffairId=20260066" TargetMode="External" Id="rId62" /><Relationship Type="http://schemas.openxmlformats.org/officeDocument/2006/relationships/hyperlink" Target="https://www.parlament.ch/de/ratsbetrieb/suche-curia-vista/geschaeft?AffairId=20193286" TargetMode="External" Id="rId63" /><Relationship Type="http://schemas.openxmlformats.org/officeDocument/2006/relationships/hyperlink" Target="https://www.parlament.ch/de/ratsbetrieb/suche-curia-vista/geschaeft?AffairId=20214346" TargetMode="External" Id="rId64" /><Relationship Type="http://schemas.openxmlformats.org/officeDocument/2006/relationships/hyperlink" Target="https://www.parlament.ch/de/ratsbetrieb/suche-curia-vista/geschaeft?AffairId=20220498" TargetMode="External" Id="rId65" /><Relationship Type="http://schemas.openxmlformats.org/officeDocument/2006/relationships/hyperlink" Target="https://www.parlament.ch/de/ratsbetrieb/suche-curia-vista/geschaeft?AffairId=20203860" TargetMode="External" Id="rId66" /><Relationship Type="http://schemas.openxmlformats.org/officeDocument/2006/relationships/hyperlink" Target="https://www.parlament.ch/de/ratsbetrieb/suche-curia-vista/geschaeft?AffairId=20253291" TargetMode="External" Id="rId67" /><Relationship Type="http://schemas.openxmlformats.org/officeDocument/2006/relationships/hyperlink" Target="https://www.parlament.ch/de/ratsbetrieb/suche-curia-vista/geschaeft?AffairId=20230201" TargetMode="External" Id="rId68" /><Relationship Type="http://schemas.openxmlformats.org/officeDocument/2006/relationships/hyperlink" Target="https://www.parlament.ch/de/ratsbetrieb/suche-curia-vista/geschaeft?AffairId=20247369" TargetMode="External" Id="rId69" /><Relationship Type="http://schemas.openxmlformats.org/officeDocument/2006/relationships/hyperlink" Target="https://www.parlament.ch/de/ratsbetrieb/suche-curia-vista/geschaeft?AffairId=20190476" TargetMode="External" Id="rId70" /><Relationship Type="http://schemas.openxmlformats.org/officeDocument/2006/relationships/hyperlink" Target="https://www.parlament.ch/de/ratsbetrieb/suche-curia-vista/geschaeft?AffairId=20203392" TargetMode="External" Id="rId71" /><Relationship Type="http://schemas.openxmlformats.org/officeDocument/2006/relationships/hyperlink" Target="https://www.parlament.ch/de/ratsbetrieb/suche-curia-vista/geschaeft?AffairId=20264226" TargetMode="External" Id="rId72" /><Relationship Type="http://schemas.openxmlformats.org/officeDocument/2006/relationships/hyperlink" Target="https://www.parlament.ch/de/ratsbetrieb/suche-curia-vista/geschaeft?AffairId=20243257" TargetMode="External" Id="rId73" /><Relationship Type="http://schemas.openxmlformats.org/officeDocument/2006/relationships/hyperlink" Target="https://www.parlament.ch/de/ratsbetrieb/suche-curia-vista/geschaeft?AffairId=20224438" TargetMode="External" Id="rId74" /><Relationship Type="http://schemas.openxmlformats.org/officeDocument/2006/relationships/hyperlink" Target="https://www.parlament.ch/de/ratsbetrieb/suche-curia-vista/geschaeft?AffairId=20257615" TargetMode="External" Id="rId75" /><Relationship Type="http://schemas.openxmlformats.org/officeDocument/2006/relationships/hyperlink" Target="https://www.parlament.ch/de/ratsbetrieb/suche-curia-vista/geschaeft?AffairId=20205840" TargetMode="External" Id="rId76" /><Relationship Type="http://schemas.openxmlformats.org/officeDocument/2006/relationships/hyperlink" Target="https://www.parlament.ch/de/ratsbetrieb/suche-curia-vista/geschaeft?AffairId=20220423" TargetMode="External" Id="rId77" /><Relationship Type="http://schemas.openxmlformats.org/officeDocument/2006/relationships/hyperlink" Target="https://www.parlament.ch/de/ratsbetrieb/suche-curia-vista/geschaeft?AffairId=20258207" TargetMode="External" Id="rId78" /><Relationship Type="http://schemas.openxmlformats.org/officeDocument/2006/relationships/hyperlink" Target="https://www.parlament.ch/de/ratsbetrieb/suche-curia-vista/geschaeft?AffairId=20180088" TargetMode="External" Id="rId79" /><Relationship Type="http://schemas.openxmlformats.org/officeDocument/2006/relationships/hyperlink" Target="https://www.parlament.ch/de/ratsbetrieb/suche-curia-vista/geschaeft?AffairId=20203568" TargetMode="External" Id="rId80" /><Relationship Type="http://schemas.openxmlformats.org/officeDocument/2006/relationships/hyperlink" Target="https://www.parlament.ch/de/ratsbetrieb/suche-curia-vista/geschaeft?AffairId=20213492" TargetMode="External" Id="rId81" /><Relationship Type="http://schemas.openxmlformats.org/officeDocument/2006/relationships/hyperlink" Target="https://www.parlament.ch/de/ratsbetrieb/suche-curia-vista/geschaeft?AffairId=20264166" TargetMode="External" Id="rId82" /><Relationship Type="http://schemas.openxmlformats.org/officeDocument/2006/relationships/hyperlink" Target="https://www.parlament.ch/de/ratsbetrieb/suche-curia-vista/geschaeft?AffairId=20204068" TargetMode="External" Id="rId83" /><Relationship Type="http://schemas.openxmlformats.org/officeDocument/2006/relationships/hyperlink" Target="https://www.parlament.ch/de/ratsbetrieb/suche-curia-vista/geschaeft?AffairId=20227660" TargetMode="External" Id="rId84" /><Relationship Type="http://schemas.openxmlformats.org/officeDocument/2006/relationships/hyperlink" Target="https://www.parlament.ch/de/ratsbetrieb/suche-curia-vista/geschaeft?AffairId=20201014" TargetMode="External" Id="rId85" /><Relationship Type="http://schemas.openxmlformats.org/officeDocument/2006/relationships/hyperlink" Target="https://www.parlament.ch/de/ratsbetrieb/suche-curia-vista/geschaeft?AffairId=20260042" TargetMode="External" Id="rId86" /><Relationship Type="http://schemas.openxmlformats.org/officeDocument/2006/relationships/hyperlink" Target="https://www.parlament.ch/de/ratsbetrieb/suche-curia-vista/geschaeft?AffairId=20195003" TargetMode="External" Id="rId87" /><Relationship Type="http://schemas.openxmlformats.org/officeDocument/2006/relationships/hyperlink" Target="https://www.parlament.ch/de/ratsbetrieb/suche-curia-vista/geschaeft?AffairId=20184055" TargetMode="External" Id="rId88" /><Relationship Type="http://schemas.openxmlformats.org/officeDocument/2006/relationships/hyperlink" Target="https://www.parlament.ch/de/ratsbetrieb/suche-curia-vista/geschaeft?AffairId=20200091" TargetMode="External" Id="rId89" /><Relationship Type="http://schemas.openxmlformats.org/officeDocument/2006/relationships/hyperlink" Target="https://www.parlament.ch/de/ratsbetrieb/suche-curia-vista/geschaeft?AffairId=20183257" TargetMode="External" Id="rId90"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Review: is this affair about digitalisation? (blind)</t>
        </is>
      </c>
    </row>
    <row r="3">
      <c r="A3" s="2" t="inlineStr">
        <is>
          <t>What this is: affairs where the evaluation found a disagreement (and some where it didn't), mixed and shuffled. You don't see who said what — no model answer, no PolitMonitor tag, no hint which side flagged it. Your answers decide the 'after review' numbers.</t>
        </is>
      </c>
    </row>
    <row r="4">
      <c r="A4" s="2" t="inlineStr">
        <is>
          <t>Rule (fixed before you start): answer two questions per affair. 1) 'Digitale Technik drin?' — ja / nein / unsicher. 2) 'Ziel oder Nebensache?' — is the digital part the goal of the affair (Ziel) or a side matter (Nebensache)? The column 'Entscheid' fills itself: ja only if 1 = ja AND 2 = Ziel; nein if 1 = nein or 2 = Nebensache; otherwise unsicher. Question 2 can stay empty when 1 = nein.</t>
        </is>
      </c>
    </row>
    <row r="5">
      <c r="A5" s="2" t="inlineStr">
        <is>
          <t>Texts: federal affairs are shown in the official German version where the original is French or Italian (marked in the excerpt). Open the link for the full text. 'Belegsatz' (optional): the sentence that decided it.</t>
        </is>
      </c>
    </row>
    <row r="6">
      <c r="A6" s="2" t="inlineStr">
        <is>
          <t>About 1 minute per affair. Yellow cells are for you. Please don't change the other columns or the row order.</t>
        </is>
      </c>
    </row>
    <row r="7">
      <c r="A7" s="2" t="inlineStr"/>
    </row>
    <row r="8">
      <c r="A8" s="2" t="inlineStr">
        <is>
          <t>Priority order of the partner files:</t>
        </is>
      </c>
    </row>
    <row r="9">
      <c r="A9" s="2" t="inlineStr">
        <is>
          <t>1. politmonitor_list.xlsx — now: confirm demo affairs (filter 'Keyword-free = yes').</t>
        </is>
      </c>
    </row>
    <row r="10">
      <c r="A10" s="2" t="inlineStr">
        <is>
          <t>2. cv_aps_mapping.xlsx — about 20 minutes: check the pre-filled APS chapters.</t>
        </is>
      </c>
    </row>
    <row r="11">
      <c r="A11" s="2" t="inlineStr">
        <is>
          <t>3. aps_gold_30.xlsx — OPTIONAL: only needed if we reach the APS step (S7).</t>
        </is>
      </c>
    </row>
    <row r="12">
      <c r="A12" s="2" t="inlineStr">
        <is>
          <t>4. adjudication.xlsx — later: we fill it with disputed affairs after the evaluation run (S6).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0" customWidth="1" min="3" max="3"/>
    <col width="8" customWidth="1" min="4" max="4"/>
    <col width="80" customWidth="1" min="5" max="5"/>
    <col width="14" customWidth="1" min="6" max="6"/>
    <col width="16" customWidth="1" min="7" max="7"/>
    <col width="12" customWidth="1" min="8" max="8"/>
    <col width="40" customWidth="1" min="9" max="9"/>
    <col width="30" customWidth="1" min="10" max="10"/>
  </cols>
  <sheetData>
    <row r="1">
      <c r="A1" s="3" t="inlineStr">
        <is>
          <t>Review No.</t>
        </is>
      </c>
      <c r="B1" s="3" t="inlineStr">
        <is>
          <t>Affair ID</t>
        </is>
      </c>
      <c r="C1" s="3" t="inlineStr">
        <is>
          <t>Title</t>
        </is>
      </c>
      <c r="D1" s="3" t="inlineStr">
        <is>
          <t>Link</t>
        </is>
      </c>
      <c r="E1" s="3" t="inlineStr">
        <is>
          <t>Text excerpt</t>
        </is>
      </c>
      <c r="F1" s="3" t="inlineStr">
        <is>
          <t>Digitale Technik drin?</t>
        </is>
      </c>
      <c r="G1" s="3" t="inlineStr">
        <is>
          <t>Ziel oder Nebensache?</t>
        </is>
      </c>
      <c r="H1" s="3" t="inlineStr">
        <is>
          <t>Entscheid (auto)</t>
        </is>
      </c>
      <c r="I1" s="3" t="inlineStr">
        <is>
          <t>Belegsatz (optional)</t>
        </is>
      </c>
      <c r="J1" s="3" t="inlineStr">
        <is>
          <t>Note</t>
        </is>
      </c>
    </row>
    <row r="2">
      <c r="A2" t="n">
        <v>1</v>
      </c>
      <c r="B2" t="n">
        <v>67332</v>
      </c>
      <c r="C2" s="2" t="inlineStr">
        <is>
          <t>Weg von Fast Fashion, aber wie?</t>
        </is>
      </c>
      <c r="D2" s="4" t="inlineStr">
        <is>
          <t>open</t>
        </is>
      </c>
      <c r="E2" s="2" t="inlineStr">
        <is>
          <t>TEXT: In den letzten 20 Jahren sind Textilien von einem Gebrauchsgegenstand zum Wegwerf-Artikel geworden. Die Tragedauer von Kleidern ist um 40 Prozent gesunken. Dafür hat sich die weltweite Produktion verdoppelt. Die billige und schnelllebige Fast-Fashion-Industrie hat immense Schattenseiten. Prekäre Arbeitsbedingungen und gesundheitsschädigende Umweltbelastungen prägen die globalen Lieferketten. 2018 haben deshalb das Bundesamt für Umwelt (BAFU) gemeinsam mit dem Staatssekretariat für Wirtschaft (SECO) sowie den Verbänden Swiss Textiles und amfori die Initiative "Nachhaltige Textilien Schweiz" als Multi-Stakeholder-Dialog gestartet. Daraus ist das Programm "Sustainable Textiles Switzerland 2030 (STS 2030)" entstanden, das einen wesentlichen Beitrag zur Erreichung der Nachhaltigen Entwicklungsziele (SDGs) im Schweizer Textil- und Bekleidungssektor entlang der gesamten Wertschöpfungskette leisten will. Die am Programm beteiligten Unternehmungen und Verbände setzen sich im Rahmen ihrer Eigenverantwortung in einem vorbildlichen Prozess für die Reduktion der Treibhausgasemissionen, die Förderung fairer Löhne und menschenwürdiger Arbeitsbedingungen, die Förderung innovativer Geschäftsm…</t>
        </is>
      </c>
      <c r="F2" s="5" t="inlineStr"/>
      <c r="G2" s="5" t="inlineStr"/>
      <c r="H2" s="6">
        <f>IF(F2="nein","nein",IF(OR(F2="",G2=""),"",IF(AND(F2="ja",G2="Ziel"),"ja",IF(G2="Nebensache","nein","unsicher"))))</f>
        <v/>
      </c>
      <c r="I2" s="7" t="inlineStr"/>
      <c r="J2" s="5" t="inlineStr"/>
    </row>
    <row r="3">
      <c r="A3" t="n">
        <v>2</v>
      </c>
      <c r="B3" t="n">
        <v>69244</v>
      </c>
      <c r="C3" s="2" t="inlineStr">
        <is>
          <t>Neue Regelungen zu Auswüchsen im Internet</t>
        </is>
      </c>
      <c r="D3" s="4" t="inlineStr">
        <is>
          <t>open</t>
        </is>
      </c>
      <c r="E3" s="2" t="inlineStr">
        <is>
          <t xml:space="preserve">[Official DE version; original is FR] </t>
        </is>
      </c>
      <c r="F3" s="5" t="inlineStr"/>
      <c r="G3" s="5" t="inlineStr"/>
      <c r="H3" s="6">
        <f>IF(F3="nein","nein",IF(OR(F3="",G3=""),"",IF(AND(F3="ja",G3="Ziel"),"ja",IF(G3="Nebensache","nein","unsicher"))))</f>
        <v/>
      </c>
      <c r="I3" s="7" t="inlineStr"/>
      <c r="J3" s="5" t="inlineStr"/>
    </row>
    <row r="4">
      <c r="A4" t="n">
        <v>3</v>
      </c>
      <c r="B4" t="n">
        <v>287810</v>
      </c>
      <c r="C4" s="2" t="inlineStr">
        <is>
          <t>Erweiterte Kontrolle personenbezogener Daten und sozialer Medien im Esta-Verfahren. Praktische und rechtliche Konsequenzen für Schweizer Staatsangehörige</t>
        </is>
      </c>
      <c r="D4" s="4" t="inlineStr">
        <is>
          <t>open</t>
        </is>
      </c>
      <c r="E4" s="2" t="inlineStr">
        <is>
          <t>[Official DE version; original is FR] TEXT: Die US-Regierung (U.S. Customs and Border Protection) hat am 10. Dezember 2025 angekündigt, dass Reisende aus Ländern, die am Visa Waiver Program teilnehmen (darunter auch die Schweiz) und ein sogenanntes ESTA-Visum (Electronic System for Travel Authorization) beantragen, künftig unter anderem folgende Angaben machen müssen: die Social-Media-Historie der letzten 5 Jahre, ihre E-Mail-Adressen der letzten 10 Jahre sowie den Geburtsort und Wohnort ihrer Eltern, ihrer Ehepartnerin oder ihres Ehepartners, ihrer Geschwister und Kinder. Der Vorschlag befindet sich derzeit in der Beratung und hätte, falls er umgesetzt wird, auch erhebliche Auswirkungen auf Schweizer Staatsangehörige, die in die Vereinigten Staaten reisen. In diesem Zusammenhang bitte ich den Bundesrat, folgende Fragen zu beantworten: Wie beurteilt er die angekündigten Änderungen (insbesondere die Pflicht, Informationen über die Aktivitäten in den sozialen Medien der letzten fünf Jahre zur Verfügung zu stellen) im Hinblick auf die Bürgerrechte und den Datenschutz der Schweizer Bürgerinnen und Bürger? Welche konkreten Auswirkungen erwartet er für Schweizer Touristinnen und Touristen, für Geschäftsreisende (einschliessl…</t>
        </is>
      </c>
      <c r="F4" s="5" t="inlineStr"/>
      <c r="G4" s="5" t="inlineStr"/>
      <c r="H4" s="6">
        <f>IF(F4="nein","nein",IF(OR(F4="",G4=""),"",IF(AND(F4="ja",G4="Ziel"),"ja",IF(G4="Nebensache","nein","unsicher"))))</f>
        <v/>
      </c>
      <c r="I4" s="7" t="inlineStr"/>
      <c r="J4" s="5" t="inlineStr"/>
    </row>
    <row r="5">
      <c r="A5" t="n">
        <v>4</v>
      </c>
      <c r="B5" t="n">
        <v>155776</v>
      </c>
      <c r="C5" s="2" t="inlineStr">
        <is>
          <t>Covid-19. Eine Grundlage, um in der Bundesverwaltung die Verbreitung von Homeoffice zu beschleunigen?</t>
        </is>
      </c>
      <c r="D5" s="4" t="inlineStr">
        <is>
          <t>open</t>
        </is>
      </c>
      <c r="E5" s="2" t="inlineStr">
        <is>
          <t>TEXT: Der Umgang mit der Covid-19-Notlage hat allen Gesellschaftsschichten grosse Anpassungen abverlangt. Sehr deutlich zeigte sich dies bei der weit verbreiteten Nutzung des Homeoffice. Auch zahlreiche Bundesangestellte arbeiten zurzeit im Homeoffice. Diesbezüglich stellen die gegenwärtigen Umstände einen wichtigen Test dar, aus dem für die Zukunft Erfahrungen gesammelt werden können und der dazu genutzt werden kann, die Verbreitung des Homeoffice zu beschleunigen. Wie in anderen Bereichen könnte die Einführung von erleichterten Bedingungen für das Homeoffice auch in der Bundesverwaltung positive Auswirkungen auf verschiedene Bereiche haben, z. B. den Verkehr (weniger überfüllte öffentliche Verkehrsmittel und weniger Stau auf den Strassen), die Lebensqualität der Angestellten (bessere Vereinbarkeit von Berufs- und Familienleben, weniger Stress) und die Arbeitsleistung (grössere Flexibilität und Produktivität, geringeres Risiko eines Burnout). Weiter könnten solche Massnahme sich auch positiv auf die Bundesfinanzen auswirken dank einer effizienteren Verwaltung der gemieteten Räumlichkeiten und einem gezielteren Ressourceneinsatz. Unterstrichen werden muss zudem, dass eine flexibler…</t>
        </is>
      </c>
      <c r="F5" s="5" t="inlineStr"/>
      <c r="G5" s="5" t="inlineStr"/>
      <c r="H5" s="6">
        <f>IF(F5="nein","nein",IF(OR(F5="",G5=""),"",IF(AND(F5="ja",G5="Ziel"),"ja",IF(G5="Nebensache","nein","unsicher"))))</f>
        <v/>
      </c>
      <c r="I5" s="7" t="inlineStr"/>
      <c r="J5" s="5" t="inlineStr"/>
    </row>
    <row r="6">
      <c r="A6" t="n">
        <v>5</v>
      </c>
      <c r="B6" t="n">
        <v>159102</v>
      </c>
      <c r="C6" s="2" t="inlineStr">
        <is>
          <t>Wie sicher sind die Arbeitsumgebungen beim Bund vor Sabotage und/oder Abhöraktionen durch andere Akteure?</t>
        </is>
      </c>
      <c r="D6" s="4" t="inlineStr">
        <is>
          <t>open</t>
        </is>
      </c>
      <c r="E6" s="2" t="inlineStr">
        <is>
          <t>[Official DE version; original is IT] TEXT: Ein Vorfall, der sich vor wenigen Wochen in Deutschland zugetragen hat, lässt aufhorchen. Saboteure durchtrennten an verschieden Stellen Leitungen für das Funknetz der Bahn. Der Verkehr war stillgelegt und die Kommunikation zwischen den Lokomotivführern und den Leitstellen unterbrochen. Ein ähnliches Szenario könnte sich an jedem anderen Ort abspielen. Bei uns in der Schweiz im Bundesumfeld wird die Arbeitssicherheit und auch das vertrauensvolle Arbeiten als zentraler Schlüssel angesehen. Es gibt aber noch immer Räume und Gebäude in welchen Bundesangestellte arbeiten und vertrauliche Gespräche führen müssen, in welchen nicht in jedem Fall ausgeschlossen werden kann, dass diese Umgebung gesichert ist. Im gleichen Gebäude arbeiten andere Unternehmen und die Informatikleitungen dieser unterschiedlichen Unternehmen, auch unserer Bundesstellen, münden im gleichen Serverraum. Ein Sabotageakt oder auch das gezielte Abhören kann nicht in jedem Fall ausgeschlossen werden. In diesem Zusammenhang bitte ich den Bundesrat, die nachfolgenden Fragen zu beantworten: 1. Hat der Bund eine Übersicht, ob alle sicherheitsrelevanten Ämter 'sicher' arbeiten können? 2. Gibt es Hinweise auf verdeckte…</t>
        </is>
      </c>
      <c r="F6" s="5" t="inlineStr"/>
      <c r="G6" s="5" t="inlineStr"/>
      <c r="H6" s="6">
        <f>IF(F6="nein","nein",IF(OR(F6="",G6=""),"",IF(AND(F6="ja",G6="Ziel"),"ja",IF(G6="Nebensache","nein","unsicher"))))</f>
        <v/>
      </c>
      <c r="I6" s="7" t="inlineStr"/>
      <c r="J6" s="5" t="inlineStr"/>
    </row>
    <row r="7">
      <c r="A7" t="n">
        <v>6</v>
      </c>
      <c r="B7" t="n">
        <v>67403</v>
      </c>
      <c r="C7" s="2" t="inlineStr">
        <is>
          <t>Wie geht es weiter mit der SwissCovid App?</t>
        </is>
      </c>
      <c r="D7" s="4" t="inlineStr">
        <is>
          <t>open</t>
        </is>
      </c>
      <c r="E7" s="2" t="inlineStr">
        <is>
          <t>TEXT: Gemäss den offiziellen Angaben des SwissCovid-App-Monitorings (vom 21. bis 27. Februar) haben in diesem Zeitraum 743 Nutzerinnen und Nutzer einen Covidcode eingegeben, bei 1 740 000 Downloads. In mehr als 13 Prozent der Fälle vergehen mindestens vier Tage zwischen dem Symptombeginn und der Zuweisung des Covidcodes. Sieht der Bundesrat in diesen Zahlen ein Zeichen des Erfolgs für die SwissCovid App in Bezug auf ihre Nützlichkeit im Kampf gegen die Ausbreitung des Virus?
ANSWER: Die Antwort des Bundesrates existiert nur in französischer Sprache. (Bitte wechseln Sie auf der Homepage oben rechts die Sprache)</t>
        </is>
      </c>
      <c r="F7" s="5" t="inlineStr"/>
      <c r="G7" s="5" t="inlineStr"/>
      <c r="H7" s="6">
        <f>IF(F7="nein","nein",IF(OR(F7="",G7=""),"",IF(AND(F7="ja",G7="Ziel"),"ja",IF(G7="Nebensache","nein","unsicher"))))</f>
        <v/>
      </c>
      <c r="I7" s="7" t="inlineStr"/>
      <c r="J7" s="5" t="inlineStr"/>
    </row>
    <row r="8">
      <c r="A8" t="n">
        <v>7</v>
      </c>
      <c r="B8" t="n">
        <v>69934</v>
      </c>
      <c r="C8" s="2" t="inlineStr">
        <is>
          <t>Personen mit Ausweis S: Wie viele haben zulasten der Schweizerinnen und Schweizer eine Arbeit gefunden?</t>
        </is>
      </c>
      <c r="D8" s="4" t="inlineStr">
        <is>
          <t>open</t>
        </is>
      </c>
      <c r="E8" s="2" t="inlineStr">
        <is>
          <t>TEXT: Bezüglich der Personen mit Ausweis S stelle ich folgende Fragen: 1. Wie viele von ihnen haben eine Arbeitsstelle gefunden? 2. Was für Verträge regeln ihr Arbeitsverhältnis zu den Unternehmen? 3. In welchen Sektoren sind sie tätig? 4. Haben diese Personen Stellen besetzt, die sonst von Schweizer Bürgerinnen und Bürgern eingenommen worden wären? Es wird darum gebeten, die Daten für die Schweiz insgesamt und nach Sprachregion darzustellen.
ANSWER: Die Antwort des Bundesrates existiert nur in französischer Sprache. (Bitte wechseln Sie auf der Homepage oben rechts die Sprache)</t>
        </is>
      </c>
      <c r="F8" s="5" t="inlineStr"/>
      <c r="G8" s="5" t="inlineStr"/>
      <c r="H8" s="6">
        <f>IF(F8="nein","nein",IF(OR(F8="",G8=""),"",IF(AND(F8="ja",G8="Ziel"),"ja",IF(G8="Nebensache","nein","unsicher"))))</f>
        <v/>
      </c>
      <c r="I8" s="7" t="inlineStr"/>
      <c r="J8" s="5" t="inlineStr"/>
    </row>
    <row r="9">
      <c r="A9" t="n">
        <v>8</v>
      </c>
      <c r="B9" t="n">
        <v>71365</v>
      </c>
      <c r="C9" s="2" t="inlineStr">
        <is>
          <t>Selbstverteidigungsrecht der Staaten unter Beschuss?</t>
        </is>
      </c>
      <c r="D9" s="4" t="inlineStr">
        <is>
          <t>open</t>
        </is>
      </c>
      <c r="E9" s="2" t="inlineStr">
        <is>
          <t>TEXT: ICC-Chefankläger Karim Ahmat Khan hat im Zusammenhang mit dem Konflikt in Gaza einen Haftbefehl gegen Israels Regierungschef Benjamin Netanjahu beantragt und erhält Rückendeckung aus arabischen Staaten. Stellt der Bundesrat das Selbstverteidigungsrecht Israels ebenfalls infrage?
ANSWER: La Suisse soutient la Cour pénale internationale (CPI) en tant qu'institution judiciaire indépendante et impartiale. La Suisse a toujours défendu l’indépendance de la CPI et continuera à le faire. La CPI a confirmé sa compétence pour la situation en Palestine en 2020 et autorisé l’ouverture d’une enquête. Des renvois supplémentaires n’étaient dès lors pas nécessaires pour accélérer la procédure comme c’était le cas pour la situation en Ukraine. Da es sich um ein laufendes Verfahren handelt, äussert sich der Bundesrat nicht zum Antrag des Anklägers auf Erlass von Haftbefehlen. Die zuständige Vorverfahrenskammer des IStGH wird diese Anträge nun zu prüfen haben. Die Unabhängigkeit des Gerichts muss respektiert werden. Als Mitglied des Römer Statuts ist die Schweiz grundsätzlich verpflichtet, Haftbefehle des IStGH zu vollstrecken. Über die Zulässigkeit und die Modalitäten der Zusammenarbeit mit d…</t>
        </is>
      </c>
      <c r="F9" s="5" t="inlineStr"/>
      <c r="G9" s="5" t="inlineStr"/>
      <c r="H9" s="6">
        <f>IF(F9="nein","nein",IF(OR(F9="",G9=""),"",IF(AND(F9="ja",G9="Ziel"),"ja",IF(G9="Nebensache","nein","unsicher"))))</f>
        <v/>
      </c>
      <c r="I9" s="7" t="inlineStr"/>
      <c r="J9" s="5" t="inlineStr"/>
    </row>
    <row r="10">
      <c r="A10" t="n">
        <v>9</v>
      </c>
      <c r="B10" t="n">
        <v>201902</v>
      </c>
      <c r="C10" s="2" t="inlineStr">
        <is>
          <t>Wissenschaftliche Studie zu allfällig übersetzten Mieten</t>
        </is>
      </c>
      <c r="D10" s="4" t="inlineStr">
        <is>
          <t>open</t>
        </is>
      </c>
      <c r="E10" s="2" t="inlineStr">
        <is>
          <t>TEXT: Der Bundesrat wird beauftragt, umgehend eine wissenschaftliche Studie in Auftrag zu geben, die das Ausmass der übersetzten Mieten aufzeigt und die volkswirtschaftlichen Auswirkungen beleuchtet
REASONING: Unser Mietrecht erlaubt mit der "Kostenmiete plus" eine Eigenkapitalrendite, welche den die Bindung an den hypothekarischen Referenzzinssatz (Kosten) um einen geringen Prozentsatz übersteigen darf. Lange Zeit setzte das Bundesgericht diesen auf 0,5 Prozent, seit 2 Jahren auf 2 Prozent über dem hypothekarischen Referenzzinssatz fest (auf Bauten, die nicht älter als 30 Jahre sind). In Realität betragen die effektiven Renditen aber nicht die maximal erlaubten, sondern oft werden betriebswirtschaftliche Renditen in zweistelliger Höhe erzielt. Die Mieten sind in den letzten 15 Jahren nur gestiegen, obwohl sie hätten wegen der tiefen Zinsen massiv sinken sollen. In einer Studie der Raiffeisen-Bank wurde die Abweichung der effektiven Mietzinse vom gesetzlichen Pfad auf 14 Milliarden Franken jährlich beziffert und die Mieten bis 40 Prozent zu hoch seien. In der neusten Studie des Büro Bass, werden die Mietpreise für das Jahr 2021 als mit 10,4 Milliarden Franken zu hoch berechnet und…</t>
        </is>
      </c>
      <c r="F10" s="5" t="inlineStr"/>
      <c r="G10" s="5" t="inlineStr"/>
      <c r="H10" s="6">
        <f>IF(F10="nein","nein",IF(OR(F10="",G10=""),"",IF(AND(F10="ja",G10="Ziel"),"ja",IF(G10="Nebensache","nein","unsicher"))))</f>
        <v/>
      </c>
      <c r="I10" s="7" t="inlineStr"/>
      <c r="J10" s="5" t="inlineStr"/>
    </row>
    <row r="11">
      <c r="A11" t="n">
        <v>10</v>
      </c>
      <c r="B11" t="n">
        <v>235223</v>
      </c>
      <c r="C11" s="2" t="inlineStr">
        <is>
          <t>Sind Sicherheitsmerkmale und -vorrichtungen nach dem SMVS für das Monitoring von Arzneimitteln ungeeignet?</t>
        </is>
      </c>
      <c r="D11" s="4" t="inlineStr">
        <is>
          <t>open</t>
        </is>
      </c>
      <c r="E11" s="2" t="inlineStr">
        <is>
          <t>[Official DE version; original is IT] TEXT: Teilt der Bundesrat die Einschätzung, dass die gesetzliche Grundlage fehlt, um mit dem verabschiedeten Art. 17a HMG das digitale Management von Versorgungsengpässen bei Humanarzneimitteln gemäss der Motion Ettlin umzusetzen und dass eine entsprechende Rechtsgrundlage im HMG erst zu schaffen ist? Gehört die Einführung des SMVS zu den acht Empfehlungen, welche die «Taskforce Engpass Medikamente» zuhanden des Bundesrats vorschlägt? Braucht es überhaupt eine zusätzliche Rechtsgrundlage für das Monitoring oder reicht das System der Frühwarnung beim BWL? Trifft es zu, dass das BWL gar nicht plant, das SMVS für das digitale Management von Versorgungsengpässen bei Humanarzneimitteln zu nutzen? Geht der Bundesrat von einer signifikanten Gefahr von Fälschungen für die in der Schweiz gehandelten Medikamente aus und wenn ja, bei welchen? Teilt der Bundesrat die Position von Leistungserbringenden, dass der Aufwand zur Implementierung der SMVS-Vorgaben unverhältnismässig hoch sei im Vergleich zum erzielbaren Nutzen?
REASONING: Das Parlament hat am 26. September 2023 die Motion Ettlin 22.3859 «Masterplan zur digitalen Transformation im Gesundheitswesen. Nutzung von gesetzlichen Standards u…</t>
        </is>
      </c>
      <c r="F11" s="5" t="inlineStr"/>
      <c r="G11" s="5" t="inlineStr"/>
      <c r="H11" s="6">
        <f>IF(F11="nein","nein",IF(OR(F11="",G11=""),"",IF(AND(F11="ja",G11="Ziel"),"ja",IF(G11="Nebensache","nein","unsicher"))))</f>
        <v/>
      </c>
      <c r="I11" s="7" t="inlineStr"/>
      <c r="J11" s="5" t="inlineStr"/>
    </row>
    <row r="12">
      <c r="A12" t="n">
        <v>11</v>
      </c>
      <c r="B12" t="n">
        <v>157707</v>
      </c>
      <c r="C12" s="2" t="inlineStr">
        <is>
          <t>Preisbekanntgabeverordnung. Selbstvergleich vereinfachen</t>
        </is>
      </c>
      <c r="D12" s="4" t="inlineStr">
        <is>
          <t>open</t>
        </is>
      </c>
      <c r="E12" s="2" t="inlineStr">
        <is>
          <t>[Official DE version; original is IT] TEXT: Der Bundesrat wird beauftragt, die Preisbekanntgabeverordnung (PBV; SR 942.211) wie folgt zu ändern: Die Vorschriften über die irreführende Preisbekanntgabe (Art. 16 Abs. 1 Bst. a und Abs. 3 PBV) sind so zu vereinfachen, dass der Selbstvergleich insbesondere bei Saisonware wie Bekleidung, Schuhe, Sportartikel usw. zeitlich uneingeschränkt praktiziert werden kann, wenn die Ware unmittelbar vorher mindestens während vier Wochen zum höheren Preis tatsächlich angeboten wurde.
REASONING: In der Preisbekanntgabeverordnung geht es beim Selbstvergleich darum, die Irreführung der Konsumentenschaft zu verhindern, indem recht komplexe Regeln für die Bekanntgabe von Preisreduktionen und Vergleiche zum ursprünglichen Verkaufspreis gelten. Diese Regeln sind nicht mehr zeitgemäss. Die sog. Halbierungsregel verursacht unverhältnismässigen Aufwand für die Anbieter und die Kontrollbehörden, ohne den Kunden einen echten Nutzen zu stiften. Die Halbierungsregel bestimmt, dass die Ware nur halb so lange mit Angabe der Preisreduktion angeboten werden darf, wie sie vorher zum vollen Preis angeboten wurde. Zudem gilt eine Maximaldauer von zwei Monaten. Die Regelung mag früher einmal sinnvoll gewesen…</t>
        </is>
      </c>
      <c r="F12" s="5" t="inlineStr"/>
      <c r="G12" s="5" t="inlineStr"/>
      <c r="H12" s="6">
        <f>IF(F12="nein","nein",IF(OR(F12="",G12=""),"",IF(AND(F12="ja",G12="Ziel"),"ja",IF(G12="Nebensache","nein","unsicher"))))</f>
        <v/>
      </c>
      <c r="I12" s="7" t="inlineStr"/>
      <c r="J12" s="5" t="inlineStr"/>
    </row>
    <row r="13">
      <c r="A13" t="n">
        <v>12</v>
      </c>
      <c r="B13" t="n">
        <v>337362</v>
      </c>
      <c r="C13" s="2" t="inlineStr">
        <is>
          <t>Ausserparlamentarische Kommissionen. Gesetzliche Neuordnung im Rahmen der Überprüfung 2025</t>
        </is>
      </c>
      <c r="D13" s="4" t="inlineStr">
        <is>
          <t>open</t>
        </is>
      </c>
      <c r="E13" s="2" t="inlineStr">
        <is>
          <t xml:space="preserve">[Official DE version; original is IT] </t>
        </is>
      </c>
      <c r="F13" s="5" t="inlineStr"/>
      <c r="G13" s="5" t="inlineStr"/>
      <c r="H13" s="6">
        <f>IF(F13="nein","nein",IF(OR(F13="",G13=""),"",IF(AND(F13="ja",G13="Ziel"),"ja",IF(G13="Nebensache","nein","unsicher"))))</f>
        <v/>
      </c>
      <c r="I13" s="7" t="inlineStr"/>
      <c r="J13" s="5" t="inlineStr"/>
    </row>
    <row r="14">
      <c r="A14" t="n">
        <v>13</v>
      </c>
      <c r="B14" t="n">
        <v>63752</v>
      </c>
      <c r="C14" s="2" t="inlineStr">
        <is>
          <t>Dialog über die zentralen Werte unserer Gesellschaft</t>
        </is>
      </c>
      <c r="D14" s="4" t="inlineStr">
        <is>
          <t>open</t>
        </is>
      </c>
      <c r="E14" s="2" t="inlineStr">
        <is>
          <t>TEXT: Der Bundesrat wird beauftragt, in einem Bericht aufzuzeigen, wie eine geeignete Plattform ausgestaltet sein sollte, welche die relevanten gesellschaftlichen Akteure und Organisationen zu einem offenen und gleichberechtigten Dialog vereinen könnte, um sich über die zentralen Werte unserer Gesellschaft auszutauschen.
REASONING: Fundamentalistische Strömungen sind eine Bedrohung für unsere freie, demokratische Gesellschaft, welche durch unseren Rechtsstaat geschützt ist. Für ein friedliches Zusammenleben bedarf es gemeinsamer Werte, auf welche sich alle Mitglieder einer Gesellschaft einigen und berufen können. Gemeinsame Werte entstehen durch Diskussion, Austausch und Verständnis. Gemeinsame Werte benötigen jedoch auch eine breitabgestützte Legitimation in der Bevölkerung. Aus diesem Grund wäre ein offener und gleichberechtigter Dialog zwischen den unterschiedlichen relevanten gesellschaftlichen Akteuren und Organisationen eine ideale Plattform, um eine solche Wertediskussion zu führen. Ein solcher Dialog ist für die Schweiz nicht nur wünschenswert, sondern von elementarer Wichtigkeit. Wie die aktuellen Debatten zeigen, fehlt der Schweiz ein Verständnis für das gemeinsame gesel…</t>
        </is>
      </c>
      <c r="F14" s="5" t="inlineStr"/>
      <c r="G14" s="5" t="inlineStr"/>
      <c r="H14" s="6">
        <f>IF(F14="nein","nein",IF(OR(F14="",G14=""),"",IF(AND(F14="ja",G14="Ziel"),"ja",IF(G14="Nebensache","nein","unsicher"))))</f>
        <v/>
      </c>
      <c r="I14" s="7" t="inlineStr"/>
      <c r="J14" s="5" t="inlineStr"/>
    </row>
    <row r="15">
      <c r="A15" t="n">
        <v>14</v>
      </c>
      <c r="B15" t="n">
        <v>64532</v>
      </c>
      <c r="C15" s="2" t="inlineStr">
        <is>
          <t>Mutterschaftsentschädigung für in der Landwirtschaft tätige Frauen</t>
        </is>
      </c>
      <c r="D15" s="4" t="inlineStr">
        <is>
          <t>open</t>
        </is>
      </c>
      <c r="E15" s="2" t="inlineStr">
        <is>
          <t>[Official DE version; original is FR] TEXT: In der Schweiz arbeiten zwei Drittel aller Frauen, die im Landwirtschaftsbetrieb oder -unternehmen ihres Ehemanns oder Lebenspartners tätig sind, unentgeltlich. Studierende haben Anrecht auf Erwerbsersatz, ohne über ein Einkommen zu verfügen. - Beabsichtigt der Bundesrat vor diesem Hintergrund, Artikel 16b Absatz 1 Buchstabe c EOG anzupassen, damit diese Frauen eine Mutterschaftsentschädigung beanspruchen können? - Wenn nicht, warum nicht?
ANSWER: Die Antwort des Bundesrates existiert nur in französischer Sprache. (Bitte wechseln Sie auf der Homepage oben rechts die Sprache)</t>
        </is>
      </c>
      <c r="F15" s="5" t="inlineStr"/>
      <c r="G15" s="5" t="inlineStr"/>
      <c r="H15" s="6">
        <f>IF(F15="nein","nein",IF(OR(F15="",G15=""),"",IF(AND(F15="ja",G15="Ziel"),"ja",IF(G15="Nebensache","nein","unsicher"))))</f>
        <v/>
      </c>
      <c r="I15" s="7" t="inlineStr"/>
      <c r="J15" s="5" t="inlineStr"/>
    </row>
    <row r="16">
      <c r="A16" t="n">
        <v>15</v>
      </c>
      <c r="B16" t="n">
        <v>201868</v>
      </c>
      <c r="C16" s="2" t="inlineStr">
        <is>
          <t>Internationale Zusammenarbeit von Strafbehörden im Kampf gegen Cyberkriminalität</t>
        </is>
      </c>
      <c r="D16" s="4" t="inlineStr">
        <is>
          <t>open</t>
        </is>
      </c>
      <c r="E16" s="2" t="inlineStr">
        <is>
          <t>[Official DE version; original is FR] TEXT: Angesichts der stark zunehmenden Cyberattacken ausländischer Herkunft gegen natürliche und juristische Personen in der Schweiz frage ich den Bundesrat an: 1. Wie gut funktioniert die Zusammenarbeit mit ausländischen Strafbehörden, wenn die polizeilichen Abklärungen über Strafanträge schweizerischer Geschädigter ergeben, dass die Täterschaft gezielt aus dem Ausland operiert? 2. Gibt es Staaten, die diesbezüglich ungenügend mit der Schweiz kooperieren und deshalb von cyberkrimineller Täterschaft besonders als Ausgangsbasis genutzt werden? 3. Wie hoch schätzt der Bundesrat die Fälle, wo der Standort der Täterschaft überhaupt nicht eruiert werden kann? 4. Vorliegende Interpellation basiert auf monatelangen Cyberattacken auf Kunden der PostFinance und weiterer Schweizer Unternehmen, die über eine gefälschte Webseite ("Phishing") angelockt wurden, mit dem Ziel, der Täterschaft direkten Zugriff auf ihre Konti und Depots zu ermöglichen. Als Ursprungland konnte die mit der Abklärung beauftragte Bundesanwaltschaft Indien eruieren. In der Folge wurden die aufgearbeiteten Fälle an die indischen Strafbehörden zur Weiterverfolgung übergeben. Kann der Bundesrat nähere Angaben zum aktuellen …</t>
        </is>
      </c>
      <c r="F16" s="5" t="inlineStr"/>
      <c r="G16" s="5" t="inlineStr"/>
      <c r="H16" s="6">
        <f>IF(F16="nein","nein",IF(OR(F16="",G16=""),"",IF(AND(F16="ja",G16="Ziel"),"ja",IF(G16="Nebensache","nein","unsicher"))))</f>
        <v/>
      </c>
      <c r="I16" s="7" t="inlineStr"/>
      <c r="J16" s="5" t="inlineStr"/>
    </row>
    <row r="17">
      <c r="A17" t="n">
        <v>16</v>
      </c>
      <c r="B17" t="n">
        <v>65590</v>
      </c>
      <c r="C17" s="2" t="inlineStr">
        <is>
          <t>Velomitnahme im Zug, auch auf den Nachtzuglinien</t>
        </is>
      </c>
      <c r="D17" s="4" t="inlineStr">
        <is>
          <t>open</t>
        </is>
      </c>
      <c r="E17" s="2" t="inlineStr">
        <is>
          <t>TEXT: Der Bundesrat wird beauftragt, sicher zu stellen, dass 1. Velos auf jeder Zuglinie in der Schweiz und ohne Reservation mitgenommen werden können 2. Die Velomitnahme auch auf den geplanten Nachtzügen und auf den internationalen Linien möglich wird.
REASONING: Auf den internationalen Zügen, die auch im Binnenverkehr der Schweiz Zugverbindungen sicherstellen, kann das Fahrrad nur noch mit Reservation mitgenommen werden. Die Reservation kann aber nicht in der SBB-App getätigt werden, sondern muss am Schalter gelöst werden und kostet 5 Franken. Ein Kauf im Zug ist manchmal möglich, der Preis dort 10 Franken. Dies ist nur die Reservation, das Veloticket kommt hinzu. Viele Personen möchten mit dem Velo reisen, sei es im Alltag oder auch in den Ferien. Gerade dieses Jahr haben wir gesehen, dass Ferien in der Schweiz für viele eine Option ist. Nachhaltiger Ferien machen und nachhaltiger Reisen ist die Zukunft. So sieht auch die Nachtzugnachfrage aus. Die Zahl der Fahrgäste in Nachtzügen ist im vergangenen Jahr um 25 Prozent gestiegen. Dies ist ein Trend, der der Notwendigkeit Rechnung trägt, die Auswirkungen unserer Mobilität auf die Umwelt und das Klima zu verringern. Die rasche Ent…</t>
        </is>
      </c>
      <c r="F17" s="5" t="inlineStr"/>
      <c r="G17" s="5" t="inlineStr"/>
      <c r="H17" s="6">
        <f>IF(F17="nein","nein",IF(OR(F17="",G17=""),"",IF(AND(F17="ja",G17="Ziel"),"ja",IF(G17="Nebensache","nein","unsicher"))))</f>
        <v/>
      </c>
      <c r="I17" s="7" t="inlineStr"/>
      <c r="J17" s="5" t="inlineStr"/>
    </row>
    <row r="18">
      <c r="A18" t="n">
        <v>17</v>
      </c>
      <c r="B18" t="n">
        <v>67184</v>
      </c>
      <c r="C18" s="2" t="inlineStr">
        <is>
          <t>Dazit und Grenzkontrollen</t>
        </is>
      </c>
      <c r="D18" s="4" t="inlineStr">
        <is>
          <t>open</t>
        </is>
      </c>
      <c r="E18" s="2" t="inlineStr">
        <is>
          <t>[Official DE version; original is IT] TEXT: Gemäss dem Bericht des Bundesrates in Erfüllung des Postulats 17.4177 vom 14. Dezember 2017 wird ein eher theoretischer Ansatz verfolgt, der wenig auf den tatsächlichen Berufsalltag des Personals, das an den Eisenbahngrenzübergängen arbeitet, ausgerichtet ist. In Anbetracht der bedeutenden geplanten Änderungen ist es angezeigt, dass mehr Informationen über das Operative und über die Auswirkungen auf den Alltag der Angestellten und der Bevölkerung bekannt werden. 1. Sind Investitionen in die Infrastruktur geplant zur Verbesserung der Kontrollen, insbesondere des Güterverkehrs, an allen Grenzbahnhöfen (Basel, Buchs, Vallorbe, Genf, Domodossola, Luino, Chiasso)? Ist dafür die Eidgenössische Zollverwaltung (EZV) oder direkt die SBB zuständig? Wie werden die Finanzierung und die Koordination der Verfahren sichergestellt? 2. Sind für den Bahngüterverkehr festinstallierte Scanner vorgesehen? An welchen Bahnhöfen? 3. Ist im Rahmen der laufenden Reform vorgesehen, die internationalen Abkommen, die für die Grenzbahnhöfe gelten, an die heutige Situation anzupassen? Welche Abkommen sollen mit den jeweiligen Vertragspartnern angepasst werden? 4. Sieht das Projekt DaziT - zur Optimierung d…</t>
        </is>
      </c>
      <c r="F18" s="5" t="inlineStr"/>
      <c r="G18" s="5" t="inlineStr"/>
      <c r="H18" s="6">
        <f>IF(F18="nein","nein",IF(OR(F18="",G18=""),"",IF(AND(F18="ja",G18="Ziel"),"ja",IF(G18="Nebensache","nein","unsicher"))))</f>
        <v/>
      </c>
      <c r="I18" s="7" t="inlineStr"/>
      <c r="J18" s="5" t="inlineStr"/>
    </row>
    <row r="19">
      <c r="A19" t="n">
        <v>18</v>
      </c>
      <c r="B19" t="n">
        <v>153337</v>
      </c>
      <c r="C19" s="2" t="inlineStr">
        <is>
          <t>Die Bürokratiemonster "Bewilligungen von Drittstaatenkontingenten" und "Kurzaufenthaltsbewilligungen (L-Bewilligungen) für EU-/Efta-Bürger" müssen vereinfacht und beschleunigt werden</t>
        </is>
      </c>
      <c r="D19" s="4" t="inlineStr">
        <is>
          <t>open</t>
        </is>
      </c>
      <c r="E19" s="2" t="inlineStr">
        <is>
          <t>[Official DE version; original is IT] TEXT: Die mit der Bewilligung von Drittstaatenkontingenten verbundenen Prozesse sind für Unternehmen komplex und anspruchsvoll. Der Prozess selbst dauert gut und gerne ein halbes Jahr. Grossunternehmen haben dafür eigene Abteilungen oder beauftragen spezialisierte Beratungsunternehmen. Für KMU und Start-ups besteht diese Möglichkeit aus finanziellen Gründen nicht. Die Bearbeitungszeiten bei den L-Bewilligungen für EU-/Efta-Bürger sind zu lange und von Kanton zu Kanton sehr unterschiedlich. Die Bearbeitung kann theoretisch in Sekunden erledigt werden, da voll regelbasiert, allfällige Ausnahmen können einem Sachbearbeiter im Kanton zugewiesen werden. Ein digitaler, nationaler One-Stop-Shop für KMU würde die Komplexität deutlich senken und die Länge des Prozesses verkürzen. Mit EasyGov besteht bereits eine Plattform, die für genau solche Prozesse gebaut wurde und bereits in Betrieb ist. Eine Erweiterung von EasyGov um Arbeitsbewilligungen würde für Start-ups und KMU eine echte Chance bieten, einfach und mit gut geführten digitalen Prozessen Anträge zu stellen. Vor diesem Hintergrund wird der Bundesrat gebeten, folgende Fragen zu beantworten: 1. Teilt er die Ansicht, dass die Antragste…</t>
        </is>
      </c>
      <c r="F19" s="5" t="inlineStr"/>
      <c r="G19" s="5" t="inlineStr"/>
      <c r="H19" s="6">
        <f>IF(F19="nein","nein",IF(OR(F19="",G19=""),"",IF(AND(F19="ja",G19="Ziel"),"ja",IF(G19="Nebensache","nein","unsicher"))))</f>
        <v/>
      </c>
      <c r="I19" s="7" t="inlineStr"/>
      <c r="J19" s="5" t="inlineStr"/>
    </row>
    <row r="20">
      <c r="A20" t="n">
        <v>19</v>
      </c>
      <c r="B20" t="n">
        <v>213693</v>
      </c>
      <c r="C20" s="2" t="inlineStr">
        <is>
          <t>Plattformunternehmen und Gig Economy. Bessere Absicherung von selbstständig Erwerbstätigen</t>
        </is>
      </c>
      <c r="D20" s="4" t="inlineStr">
        <is>
          <t>open</t>
        </is>
      </c>
      <c r="E20" s="2" t="inlineStr">
        <is>
          <t>[Official DE version; original is FR] TEXT: Der Bundesrat wird beauftragt, in einem Bericht darzulegen, wie die soziale Absicherung von selbstständig Erwerbstätigen der sogenannten Gig Economy gestärkt werden kann. Dabei ist auch und insbesondere zu prüfen, wie Plattformunternehmen zur Verbesserung der sozialen Absicherung beitragen können.
REASONING: Das schon heute verbreitete Bedürfnis nach flexiblen Arbeitsmodellen wird im Zuge der fortschreitenden digitalen Transformation weiter zunehmen. Es ist davon auszugehen, dass der Trend "Gig Economy" - jenes Teils der Arbeitswelt, der von Plattformunternehmen dominiert wird und/oder in welchem kleine Aufträge kurzfristig an unabhängige Selbstständigerwerbende oder Beschäftigte mit Kleinstpensen vergeben werden - weiter an Bedeutung gewinnen wird. Diese Entwicklung eröffnet nicht nur Unternehmen neue Geschäftsmodelle, sondern auch den einzelnen Erwerbstätigen erweiterte und unter gewissen Umständen durchaus attraktive Arbeitsmodelle. Problematisch ist hingegen, dass die betroffenen selbstständig Erwerbstätigen über einen schlechteren Schutz gegen soziale Risiken verfügen. Die Politik ist aufgerufen, die bestehenden Rahmenbedingungen zu überprüfen und gegebenenfalls anzupas…</t>
        </is>
      </c>
      <c r="F20" s="5" t="inlineStr"/>
      <c r="G20" s="5" t="inlineStr"/>
      <c r="H20" s="6">
        <f>IF(F20="nein","nein",IF(OR(F20="",G20=""),"",IF(AND(F20="ja",G20="Ziel"),"ja",IF(G20="Nebensache","nein","unsicher"))))</f>
        <v/>
      </c>
      <c r="I20" s="7" t="inlineStr"/>
      <c r="J20" s="5" t="inlineStr"/>
    </row>
    <row r="21">
      <c r="A21" t="n">
        <v>20</v>
      </c>
      <c r="B21" t="n">
        <v>158836</v>
      </c>
      <c r="C21" s="2" t="inlineStr">
        <is>
          <t>85 Prozent der cannabishaltigen Lebensmittel mit zu hohem THC-Gehalt</t>
        </is>
      </c>
      <c r="D21" s="4" t="inlineStr">
        <is>
          <t>open</t>
        </is>
      </c>
      <c r="E21" s="2" t="inlineStr">
        <is>
          <t>TEXT: Die Kantonschemiker der Schweiz haben 2021 in einer gemeinsamen Kampagne Lebensmittel, die Cannabis oder Cannabisextrakte mit zu hohem THC-Gehalt, sowie CBD (Cannabidiol) enthielten, kontrolliert. Von 100 untersuchten Produkten waren 85 zu beanstanden. Hier zeigen sich die Folgen der Gesetzeslücke, welche durch den legalen CBD-Hanfanbau im Jahr 2016 entstanden ist. Fragen: 1. Was waren die Folgen für Konsumentinnen und Konsumenten, welche Produkte mit zu hohem THC-Gehalte oder mit nicht bewilligten Hanfextrakte - die mit einem Abgabeverbot oder Rückruf belegt wurden - eingenommen oder geraucht hatten? 2. Was gedenkt der Bundesrat zum Schutz der Konsumentinnen und Konsumenten zu unternehmen? 3. Welche Gesetzesergänzungen sieht der Bundesrat vor, damit keine Produkte mit zu hohen THC-Werten verkauft werden können? 4. Welche Firmen und Verkaufsstellen wurden wie hoch gebüsst?
ANSWER: Cannabis oder Hanf enthält natürlicherweise Cannabinoide; die bekanntesten sind THC (trans-delta-9-Tetrahydrocannabinol) und CBD (Cannabidiol). THC erzeugt im Gegensatz zu CBD psychotrope Wirkungen. 1. Der Bundesrat hat keine konkreten Informationen über mögliche Folgen für Konsumentinnen und Konsu…</t>
        </is>
      </c>
      <c r="F21" s="5" t="inlineStr"/>
      <c r="G21" s="5" t="inlineStr"/>
      <c r="H21" s="6">
        <f>IF(F21="nein","nein",IF(OR(F21="",G21=""),"",IF(AND(F21="ja",G21="Ziel"),"ja",IF(G21="Nebensache","nein","unsicher"))))</f>
        <v/>
      </c>
      <c r="I21" s="7" t="inlineStr"/>
      <c r="J21" s="5" t="inlineStr"/>
    </row>
    <row r="22">
      <c r="A22" t="n">
        <v>21</v>
      </c>
      <c r="B22" t="n">
        <v>71058</v>
      </c>
      <c r="C22" s="2" t="inlineStr">
        <is>
          <t>Kann die Post einen Beitrag zur digitalen Inklusion leisten?</t>
        </is>
      </c>
      <c r="D22" s="4" t="inlineStr">
        <is>
          <t>open</t>
        </is>
      </c>
      <c r="E22" s="2" t="inlineStr">
        <is>
          <t>TEXT: Verschiedene Studien wie beispielsweise der Digitalbarometer 2024 der Mobiliar haben festgestellt, dass fast ein Drittel der Bevölkerung nicht über grundlegende digitale Kompetenzen verfügt. Dabei gibt es signifikante Unterschiede nach Alter, Einkommen und Bildung. Auch wenn das Alter bei den digitalen Kompetenzen eine Rolle spielt, sind es beileibe nicht nur ältere Menschen, die Mühe haben, digitale Anwendungen wie beispielsweise E-Banking, Billetkäufe oder digitale Behördengänge zu nutzen. Dies ist oft auch mit Scham verbunden. Teilweise werden auch die eigenen Fähigkeiten überschätzt, gerade bei jüngeren Menschen. Da immer mehr Dinge des täglichen Lebens digitalisiert werden, stellt die mangelnde digitale Kompetenz ein zunehmendes Problem dar. In diesem Zusammenhang bitte ich den Bundesrat um die Beantwortung folgender Fragen: Wie schätzt der Bundesrat das Problem der fehlenden digitalen Kompetenzen ein und wie könnten diese verbessert werden? Auch Leistungen der öffentlichen Hand oder beispielsweise von bundesnahen Betrieben werden immer häufiger digitalisiert und teilweise nur noch digital angeboten. Wie kann sichergestellt werden, dass alle Personen Zugang zu diesen Lei…</t>
        </is>
      </c>
      <c r="F22" s="5" t="inlineStr"/>
      <c r="G22" s="5" t="inlineStr"/>
      <c r="H22" s="6">
        <f>IF(F22="nein","nein",IF(OR(F22="",G22=""),"",IF(AND(F22="ja",G22="Ziel"),"ja",IF(G22="Nebensache","nein","unsicher"))))</f>
        <v/>
      </c>
      <c r="I22" s="7" t="inlineStr"/>
      <c r="J22" s="5" t="inlineStr"/>
    </row>
    <row r="23">
      <c r="A23" t="n">
        <v>22</v>
      </c>
      <c r="B23" t="n">
        <v>68353</v>
      </c>
      <c r="C23" s="2" t="inlineStr">
        <is>
          <t>Ablösung von Polycom durch ein mobiles Sicherheitsnetz. Wer übernimmt die Führung?</t>
        </is>
      </c>
      <c r="D23" s="4" t="inlineStr">
        <is>
          <t>open</t>
        </is>
      </c>
      <c r="E23" s="2" t="inlineStr">
        <is>
          <t>TEXT: Das Sicherheitsfunknetz Polycom ist am Ende seiner Lebensdauer und wird in den nächsten Jahren abgelöst werden müssen. Die Ablösung durch ein neues mobiles Sicherheitsnetz (MSK) ist einigermassen dringlich, da Polycom zunehmend instabil ist. Die Erstellung dieses neuen Mobilfunknetzes ist nötig, da insbesondere bei Grosseinsätzen eine breitbandige Kommunikation wichtig ist, die den Einsatzkräften vor Ort einen Zugriff auf einsatzrelevante Daten bietet; das muss auch bei einer Überlastung des privaten Mobilfunknetzes funktionieren. Ich bitte den Bundesrat in diesem Kontext um die Beantwortung folgender Fragen: 1. 2020 hat der Bundesrat ein Pilotprojekt ermöglicht. Was sind die Lehren aus dem Pilotprojekt? 2. Das Bundesamt für Bevölkerungsschutz (BABS) hat kommuniziert, dass die Auftragslage für die Durchführung des Projekts MSK unklar sei. Ist der Bundesrat der Ansicht, dass es eine Bundesaufgabe ist, die Erstellung des mobile Sicherheitsfunknetz anzuführen? Falls nicht, wer soll diese wichtige Aufgabe erfüllen? 3. Das BABS hat kommuniziert, dass die Ressourcen für ein solches Projekt nicht vorhanden seien. Wie viele Personen (%) sind zurzeit innerhalb des BABS mit der Vorbere…</t>
        </is>
      </c>
      <c r="F23" s="5" t="inlineStr"/>
      <c r="G23" s="5" t="inlineStr"/>
      <c r="H23" s="6">
        <f>IF(F23="nein","nein",IF(OR(F23="",G23=""),"",IF(AND(F23="ja",G23="Ziel"),"ja",IF(G23="Nebensache","nein","unsicher"))))</f>
        <v/>
      </c>
      <c r="I23" s="7" t="inlineStr"/>
      <c r="J23" s="5" t="inlineStr"/>
    </row>
    <row r="24">
      <c r="A24" t="n">
        <v>23</v>
      </c>
      <c r="B24" t="n">
        <v>215214</v>
      </c>
      <c r="C24" s="2" t="inlineStr">
        <is>
          <t>Bestandsaufnahme der neuen MWST-Plattformbesteuerung</t>
        </is>
      </c>
      <c r="D24" s="4" t="inlineStr">
        <is>
          <t>open</t>
        </is>
      </c>
      <c r="E24" s="2" t="inlineStr">
        <is>
          <t>[Official DE version; original is FR] TEXT: Seit dem 1. 1. 2025 gilt in der Schweiz eine neue Mehrwertsteuerregelung für elektronische Plattformen. Wie haben sich die Anzahl der MWST-Anmeldungen und die Steuerveranlagungen seit der Einführung der neuen Regelung entwickelt? Wie verteilt sich der Anstieg der MWST-Anmeldungen auf inländische und ausländische Unternehmen? Welche Massnahmen ergreift die ESTV konkret in diesem Jahr, um sicherzustellen, dass alle Unternehmen mit einer UID ihre Mehrwertsteuerpflicht tatsächlich erfüllen?
ANSWER: Zu 1 und 2: Die MWST-Anmeldungen als Plattform im Sinne von Artikel 20a Absatz 1 des Bundesgesetzes vom 12. Juni 2009 über die Mehrwertsteuer (MWSTG; SR 641.20) verteilen sich auf zwanzig Plattformen mit Sitz im Ausland und vier Plattformen mit Sitz im Inland (Stand: Mitte März 2025). Diese Zahlen sind jedoch namentlich aus folgenden Gründen mit Vorsicht zu interpretieren: Die Online-Anmeldung als Plattform für neue Steuerpflichtige ist für im Ausland ansässige Plattformen erst seit November 2024 und für Plattformen mit Sitz im Inland erst seit März 2025 verfügbar; darüber hinaus haben es einige Unternehmen möglicherweise versäumt, bei der Anmeldung ihren Status als Plattform anzugebe…</t>
        </is>
      </c>
      <c r="F24" s="5" t="inlineStr"/>
      <c r="G24" s="5" t="inlineStr"/>
      <c r="H24" s="6">
        <f>IF(F24="nein","nein",IF(OR(F24="",G24=""),"",IF(AND(F24="ja",G24="Ziel"),"ja",IF(G24="Nebensache","nein","unsicher"))))</f>
        <v/>
      </c>
      <c r="I24" s="7" t="inlineStr"/>
      <c r="J24" s="5" t="inlineStr"/>
    </row>
    <row r="25">
      <c r="A25" t="n">
        <v>24</v>
      </c>
      <c r="B25" t="n">
        <v>155052</v>
      </c>
      <c r="C25" s="2" t="inlineStr">
        <is>
          <t>Beiträge für emissionsmindernde Ausbringverfahren bis 2021</t>
        </is>
      </c>
      <c r="D25" s="4" t="inlineStr">
        <is>
          <t>open</t>
        </is>
      </c>
      <c r="E25" s="2" t="inlineStr">
        <is>
          <t>[Official DE version; original is IT] TEXT: Der Bundesrat wird beauftragt, die Verordnung über die Direktzahlungen an die Landwirtschaft (SR 910.13) dahingehend zu ändern, dass die Beiträge für die emissionsmindernde Ausbringung von flüssigen Hof- und Recyclingdüngern bis 2021 (anstelle 2019) ausgerichtet werden. Eine Minderheit (Schneider Schüttel, Bendahan, Brélaz, Gmür Alois, Gschwind, Gysi, Hadorn, Kiener Nellen, Meyer Mattea) beantragt die Ablehnung der Motion.
ANSWER: Ab 2022 soll der Einsatz von emissionsmindernden Ausbringungsverfahren in der Luftreinhalteverordnung (LRV) umweltrechtlich vorgeschrieben werden und wird, ebenfalls ab 2022, Bestandteil des ökologischen Leistungsnachweises, dessen Einhaltung mit Direktzahlungen abgegolten wird. Eine Weiterführung der Beiträge über 2021 hinaus ist folglich nicht möglich. Der Bundesrat beantragt die Annahme der Motion.</t>
        </is>
      </c>
      <c r="F25" s="5" t="inlineStr"/>
      <c r="G25" s="5" t="inlineStr"/>
      <c r="H25" s="6">
        <f>IF(F25="nein","nein",IF(OR(F25="",G25=""),"",IF(AND(F25="ja",G25="Ziel"),"ja",IF(G25="Nebensache","nein","unsicher"))))</f>
        <v/>
      </c>
      <c r="I25" s="7" t="inlineStr"/>
      <c r="J25" s="5" t="inlineStr"/>
    </row>
    <row r="26">
      <c r="A26" t="n">
        <v>25</v>
      </c>
      <c r="B26" t="n">
        <v>64903</v>
      </c>
      <c r="C26" s="2" t="inlineStr">
        <is>
          <t>Die schweizerische Krankenversicherung soll für Grenzgängerinnen und Grenzgänger obligatorisch werden</t>
        </is>
      </c>
      <c r="D26" s="4" t="inlineStr">
        <is>
          <t>open</t>
        </is>
      </c>
      <c r="E26" s="2" t="inlineStr">
        <is>
          <t>[Official DE version; original is IT] TEXT: Artikel 3 Absatz 1 der Verordnung über die Krankenversicherung (SR 832.102) (Grenzgänger und Grenzgängerinnen) lautet wie folgt: "Nicht der Versicherungspflicht nach Artikel 1 Absatz 2 Buchstaben d und e unterstellte Grenzgänger und Grenzgängerinnen, die in der Schweiz eine Erwerbstätigkeit ausüben, sowie ihre Familienangehörigen, sofern diese im Ausland nicht eine krankenversicherungspflichtige Erwerbstätigkeit ausüben, werden auf eigenes Gesuch hin der schweizerischen Versicherung unterstellt." In der Praxis können die Grenzgängerinnen und Grenzgänger von ihrem Optionsrecht Gebrauch machen; sie werden also entweder der schweizerischen Versicherung unterstellt oder sie bleiben in ihrem Wohnland versichert. Es kann davon ausgegangen werden, dass sich die meisten Grenzgängerinnen und Grenzgänger aus Kostengründen nicht in der Schweiz versichern lassen. Da beispielsweise in Italien die Krankenversicherung praktisch gratis ist, haben sie bei gleichem Lohn deshalb ein viel höheres Einkommen als Schweizer Arbeitnehmerinnen und Arbeitnehmer. Nehmen wir als Beispiel zwei Arbeiter, einer Schweizer, der andere Grenzgänger aus Italien, beide mit einem Bruttoeinkommen von 5000 Franken: …</t>
        </is>
      </c>
      <c r="F26" s="5" t="inlineStr"/>
      <c r="G26" s="5" t="inlineStr"/>
      <c r="H26" s="6">
        <f>IF(F26="nein","nein",IF(OR(F26="",G26=""),"",IF(AND(F26="ja",G26="Ziel"),"ja",IF(G26="Nebensache","nein","unsicher"))))</f>
        <v/>
      </c>
      <c r="I26" s="7" t="inlineStr"/>
      <c r="J26" s="5" t="inlineStr"/>
    </row>
    <row r="27">
      <c r="A27" t="n">
        <v>26</v>
      </c>
      <c r="B27" t="n">
        <v>204320</v>
      </c>
      <c r="C27" s="2" t="inlineStr">
        <is>
          <t>Welche Auswirkungen hat die Digitalisierung auf unsere Gesundheit?</t>
        </is>
      </c>
      <c r="D27" s="4" t="inlineStr">
        <is>
          <t>open</t>
        </is>
      </c>
      <c r="E27" s="2" t="inlineStr">
        <is>
          <t>[Official DE version; original is IT] TEXT: Der Bundesrat wird beauftragt, einen Bericht zur Analyse der Auswirkungen der Digitalisierung unserer Gesellschaft auf die menschliche Gesundheit vorzulegen. Der Bericht soll eine Reihe von Massnahmen enthalten, welche die Entwicklung der Digitalisierung mit der Erhaltung der Gesundheit und des Wohlbefindens der Bevölkerung, insbesondere der Schülerinnen und Schüler, in Einklang bringen.
REASONING: Seit mehreren Jahren veröffentlicht der Bundesrat Berichte, in denen er die Chancen der Digitalisierung für unser Bildungssystem und unsere Gesellschaft im Allgemeinen aufzeigt. Es ist durchaus sinnvoll, den digitalen Wandel bestmöglich zu nutzen, aber dies darf nicht auf Kosten der Gesundheit der Bevölkerung geschehen. Denn wie ein Bericht von Educa 2021 feststellt, hat "die Nutzung digitaler Ressourcen Konsequenzen für Gesundheit oder subjektives Wohlbefinden von Schülerinnen und Schülern oder Lehrpersonen". In diesem Bericht heisst es weiter: "Querschnittsstudien aus dem Kanton Waadt zeigen ebenfalls, dass Jugendliche, die mehr Zeit vor dem Bildschirm verbringen, häufiger über gesundheitliche Störungen wie Rückenschmerzen, Haltungsschäden, Übergewicht und Schlafmangel berichten…</t>
        </is>
      </c>
      <c r="F27" s="5" t="inlineStr"/>
      <c r="G27" s="5" t="inlineStr"/>
      <c r="H27" s="6">
        <f>IF(F27="nein","nein",IF(OR(F27="",G27=""),"",IF(AND(F27="ja",G27="Ziel"),"ja",IF(G27="Nebensache","nein","unsicher"))))</f>
        <v/>
      </c>
      <c r="I27" s="7" t="inlineStr"/>
      <c r="J27" s="5" t="inlineStr"/>
    </row>
    <row r="28">
      <c r="A28" t="n">
        <v>27</v>
      </c>
      <c r="B28" t="n">
        <v>155792</v>
      </c>
      <c r="C28" s="2" t="inlineStr">
        <is>
          <t>Den Kantonen mehr Mitspracherecht</t>
        </is>
      </c>
      <c r="D28" s="4" t="inlineStr">
        <is>
          <t>open</t>
        </is>
      </c>
      <c r="E28" s="2" t="inlineStr">
        <is>
          <t>[Official DE version; original is FR] TEXT: Die Bundesbehörden werden eingeladen, Artikel 16 Abs. 6 des Bundesgesetzes betreffend die Aufsicht über die soziale Krankenversicherung vom 26. September 2014 (KVAG; SR 832.12) wie folgt zu ändern: Vor der Genehmigung des Prämientarifs können die Kantone zu den für ihren Kanton geschätzten Kosten und den vorgesehenen Prämientarifen gegenüber den Versicherern und der Aufsichtsbehörde Stellung nehmen; das Genehmigungsverfahren darf dadurch nicht verzögert werden. Die Kantone können bei den Versicherern und der Aufsichtsbehörde die dazu benötigten Informationen einholen. Diese Informationen dürfen weder veröffentlicht noch weitergeleitet werden.
REASONING: 1. Einleitung Der Kanton Freiburg unterbreitet der Bundesversammlung drei Standesinitiativen zu Änderungen des Bundesgesetzes betreffend die Aufsicht über die soziale Krankenversicherung vom 26. September 2014 (KVAG). Alle drei Initiativen zielen auf angemessenere Krankenversicherungsprämien im Vergleich zu den Kosten der Leistungen ab, die sie abdecken. Ausgehend vom Kanton Tessin haben mehrere andere Kantone beschlossen oder sind daran zu beschliessen, gleichlautende Initiativen einzureichen. Zusammengefasst will die erste …</t>
        </is>
      </c>
      <c r="F28" s="5" t="inlineStr"/>
      <c r="G28" s="5" t="inlineStr"/>
      <c r="H28" s="6">
        <f>IF(F28="nein","nein",IF(OR(F28="",G28=""),"",IF(AND(F28="ja",G28="Ziel"),"ja",IF(G28="Nebensache","nein","unsicher"))))</f>
        <v/>
      </c>
      <c r="I28" s="7" t="inlineStr"/>
      <c r="J28" s="5" t="inlineStr"/>
    </row>
    <row r="29">
      <c r="A29" t="n">
        <v>28</v>
      </c>
      <c r="B29" t="n">
        <v>235727</v>
      </c>
      <c r="C29" s="2" t="inlineStr">
        <is>
          <t>Wie viel hat die Schweiz ausgegeben, um der Ukraine zu helfen?</t>
        </is>
      </c>
      <c r="D29" s="4" t="inlineStr">
        <is>
          <t>open</t>
        </is>
      </c>
      <c r="E29" s="2" t="inlineStr">
        <is>
          <t>[Official DE version; original is FR] TEXT: Ignazio Cassis, der Vorsteher des EDA, hat kürzlich angekündigt, die Schweiz werde der Ukraine bis 2028 weitere 1,8 Milliarden Franken an Hilfsgeldern zukommen lassen. Das ist natürlich eine enorme Summe. Bundesrat Cassis rechtfertigte sie in der Öffentlichkeit mit der Begründung, auch die Schweiz müsse ihren Beitrag leisten. Diese Argumentation vermag nicht zu überzeugen, da die Schweiz im Zusammenhang mit dem Krieg in der Ukraine - für den sie logischerweise keine Verantwortung trägt - schon jetzt viel mehr als ihren Beitrag geleistet hat, und zwar nicht nur aus finanzieller Sicht. In Bezug auf die beträchtlichen Summen, die wegen des Kriegs in der Ukraine ausgegeben wurden, braucht es mehr Transparenz - eine Transparenz, an der es zum aktuellen Zeitpunkt mangelt. Ich frage den Bundesrat: - Wie viel hat die Schweiz bis heute für die aufgenommenen ukrainischen Flüchtlinge ausgegeben (einschliesslich der Kosten für die Krankenversicherung)? - Wie viele Hilfsgelder hat sie, in verschiedenen Formen, an die Ukraine ausbezahlt? - Wie viele Hilfsgelder hat sie im Zusammenhang mit dem Angriff auf die Ukraine an andere Länder ausbezahlt? - Hat der Bundesrat die Absicht, die entsprec…</t>
        </is>
      </c>
      <c r="F29" s="5" t="inlineStr"/>
      <c r="G29" s="5" t="inlineStr"/>
      <c r="H29" s="6">
        <f>IF(F29="nein","nein",IF(OR(F29="",G29=""),"",IF(AND(F29="ja",G29="Ziel"),"ja",IF(G29="Nebensache","nein","unsicher"))))</f>
        <v/>
      </c>
      <c r="I29" s="7" t="inlineStr"/>
      <c r="J29" s="5" t="inlineStr"/>
    </row>
    <row r="30">
      <c r="A30" t="n">
        <v>29</v>
      </c>
      <c r="B30" t="n">
        <v>63574</v>
      </c>
      <c r="C30" s="2" t="inlineStr">
        <is>
          <t>Anpassung des Bundesrechts an Entwicklungen der Technik verteilter elektronischer Register. Bundesgesetz</t>
        </is>
      </c>
      <c r="D30" s="4" t="inlineStr">
        <is>
          <t>open</t>
        </is>
      </c>
      <c r="E30" s="2" t="inlineStr">
        <is>
          <t xml:space="preserve">[Official DE version; original is IT] </t>
        </is>
      </c>
      <c r="F30" s="5" t="inlineStr"/>
      <c r="G30" s="5" t="inlineStr"/>
      <c r="H30" s="6">
        <f>IF(F30="nein","nein",IF(OR(F30="",G30=""),"",IF(AND(F30="ja",G30="Ziel"),"ja",IF(G30="Nebensache","nein","unsicher"))))</f>
        <v/>
      </c>
      <c r="I30" s="7" t="inlineStr"/>
      <c r="J30" s="5" t="inlineStr"/>
    </row>
    <row r="31">
      <c r="A31" t="n">
        <v>30</v>
      </c>
      <c r="B31" t="n">
        <v>71358</v>
      </c>
      <c r="C31" s="2" t="inlineStr">
        <is>
          <t>Alt-Botschafter Jean Daniel Ruch veröffentlicht am 12. Juni seine Memoiren und damit brisante Informationen</t>
        </is>
      </c>
      <c r="D31" s="4" t="inlineStr">
        <is>
          <t>open</t>
        </is>
      </c>
      <c r="E31" s="2" t="inlineStr">
        <is>
          <t>[Official DE version; original is FR] TEXT: Jean Daniel Ruch veröffentlicht am 12. Juni seine Memoiren. In diesen legt er vertrauliche und geheime Gespräche offen (u.a. mit türkischen Vertretern über die Friedensbemühungen im Ukraine Konflikt). - Sind (Alt-) Botschafter an keine Schweigepflicht gebunden? - Wer will mit der Schweiz noch vertraulich sprechen, wenn nachher alles in der Öffentlichkeit ausgebreitet wird? - Was unternimmt der Bundesrat gegen Alt-Botschafter Jean Daniel Ruch, damit er seine Geheimnisverletzungen nicht weiterverbreitet?
ANSWER: Das Personal des EDA untersteht den Pflichten gemäss Bundespersonalgesetzgebung. Neben der Pflicht zur Wahrung der Interessen des Arbeitgebers und des Bundes gelten für die Angestellten unter anderem auch das Berufs-, Geschäfts und Amtsgeheimnis. Mit der Beendigung des Arbeitsverhältnisses erlischt die Treuepflicht der Bundesangestellten. Die Pflicht zur Wahrung des Amts- und Berufsgeheimnisses bleibt auch nach Beendigung des Arbeitsverhältnisses bestehen. Herr Jean-Daniel Ruch hat den Entwurf seiner Memoiren den zuständigen Stellen im EDA vorgelegt und die notwendigen Anpassungen zur Erfüllung der gesetzlichen Pflichten akzeptiert.</t>
        </is>
      </c>
      <c r="F31" s="5" t="inlineStr"/>
      <c r="G31" s="5" t="inlineStr"/>
      <c r="H31" s="6">
        <f>IF(F31="nein","nein",IF(OR(F31="",G31=""),"",IF(AND(F31="ja",G31="Ziel"),"ja",IF(G31="Nebensache","nein","unsicher"))))</f>
        <v/>
      </c>
      <c r="I31" s="7" t="inlineStr"/>
      <c r="J31" s="5" t="inlineStr"/>
    </row>
    <row r="32">
      <c r="A32" t="n">
        <v>31</v>
      </c>
      <c r="B32" t="n">
        <v>297665</v>
      </c>
      <c r="C32" s="2" t="inlineStr">
        <is>
          <t>Krieg im Nahen Osten (III)</t>
        </is>
      </c>
      <c r="D32" s="4" t="inlineStr">
        <is>
          <t>open</t>
        </is>
      </c>
      <c r="E32" s="2" t="inlineStr">
        <is>
          <t>TEXT: - Ist der Bundesrat inzwischen zum Schluss gekommen, dass sich die USA und Israel gemäss Art. 22a Abs. 2 Bst. a KMG in einem «internationalen bewaffneten Konflikt» befinden? - Wurde für Kriegsmaterial, dessen Ausfuhr in die betroffenen Länder bereits bewilligt wurde, eine Rücknahme und/oder Aussetzung der entsprechenden Bewilligungen verfügt? - Wird die Ausfuhr von Gütern gemäss GKG, insbesondere von besonderen militärischen Gütern, weiterhin bewilligt?
ANSWER: Die Antwort des Bundesrates existiert nur in französischer Sprache. (Bitte wechseln Sie auf der Homepage oben rechts die Sprache)</t>
        </is>
      </c>
      <c r="F32" s="5" t="inlineStr"/>
      <c r="G32" s="5" t="inlineStr"/>
      <c r="H32" s="6">
        <f>IF(F32="nein","nein",IF(OR(F32="",G32=""),"",IF(AND(F32="ja",G32="Ziel"),"ja",IF(G32="Nebensache","nein","unsicher"))))</f>
        <v/>
      </c>
      <c r="I32" s="7" t="inlineStr"/>
      <c r="J32" s="5" t="inlineStr"/>
    </row>
    <row r="33">
      <c r="A33" t="n">
        <v>32</v>
      </c>
      <c r="B33" t="n">
        <v>153348</v>
      </c>
      <c r="C33" s="2" t="inlineStr">
        <is>
          <t>Online-Handel prüfen, überwachen und einschränken?</t>
        </is>
      </c>
      <c r="D33" s="4" t="inlineStr">
        <is>
          <t>open</t>
        </is>
      </c>
      <c r="E33" s="2" t="inlineStr">
        <is>
          <t>TEXT: Immer häufiger werden Fälle bekannt, wo in der Schweiz verbotene Waffen und andere illegale Gegenstände auf ausländischen Online-Handelsplattformen gekauft und auf dem Paketweg in die Schweiz gesendet wurden. Dabei werden unter anderem Waffen in Folien eingeschweisst, um den Detektoren der Zollverwaltung eine Entdeckung zu erschweren, oder Gegenstände als Muster bezeichnet, um Zollgebühren zu vermeiden. Bislang können für solche illegalen Praktiken allerdings nur die Empfänger belangt werden. Der Bundesrat wird gebeten, folgende Fragen zu beantworten: 1. Beabsichtigt er, der Eidgenössischen Zollverwaltung die nötigen Mittel zur Verfügung zu stellen, damit die grosse Mehrheit dieser illegalen Pakete künftig aus dem Verkehr gezogen werden kann? 2. Besteht aus seiner Sicht auch die Notwendigkeit, die verantwortlichen Online-Portale und die Versender in die Verantwortung zu nehmen? 3. Kann im Rahmen von Freihandelsabkommen die beschriebene Problematik zusammen mit unseren Handelspartnern wirkungsvoll angegangen werden? 4. Welche weiteren Mittel sieht er, um den transnationalen Versand illegaler Pakete wirkungsvoll einzudämmen?
REASONING: Die Digitalisierung ermöglicht einen imme…</t>
        </is>
      </c>
      <c r="F33" s="5" t="inlineStr"/>
      <c r="G33" s="5" t="inlineStr"/>
      <c r="H33" s="6">
        <f>IF(F33="nein","nein",IF(OR(F33="",G33=""),"",IF(AND(F33="ja",G33="Ziel"),"ja",IF(G33="Nebensache","nein","unsicher"))))</f>
        <v/>
      </c>
      <c r="I33" s="7" t="inlineStr"/>
      <c r="J33" s="5" t="inlineStr"/>
    </row>
    <row r="34">
      <c r="A34" t="n">
        <v>33</v>
      </c>
      <c r="B34" t="n">
        <v>63757</v>
      </c>
      <c r="C34" s="2" t="inlineStr">
        <is>
          <t>Systematische Ausbürgerung von "Dschihad-Touristen" mit doppelter Staatsbürgerschaft</t>
        </is>
      </c>
      <c r="D34" s="4" t="inlineStr">
        <is>
          <t>open</t>
        </is>
      </c>
      <c r="E34" s="2" t="inlineStr">
        <is>
          <t>[Official DE version; original is IT] TEXT: Der Bundesrat wird beauftragt, dafür zu sorgen, dass Artikel 42 BüG systematisch bei Schweizer "Dschihad-Touristen" mit doppelter Staatsbürgerschaft angewendet wird.
REASONING: Auf der Website des Staatssekretariats für Migration (SEM) (https://www.sem.admin.ch/sem/de/home/themen/buergerrecht/schweizer_buergerrecht.html) steht, dass der Entzug des Schweizer Bürgerrechtes gemäss Artikel 42 BüG nur in einem gravierenden Fall denkbar sei. Als Beispiele werden verurteilte Kriegsverbrecher oder Terroristen genannt. In seiner Antwort auf meine Frage 19.5162 hat der Bundesrat erklärt, dass eine solche Massnahme möglich sei, wenn das Verhalten der Person den Interessen oder dem Ansehen der Schweiz erheblich nachteilig ist, und darüber hinaus eine strafrechtliche Verurteilung rechtskräftig ist, ausser wenn die Strafverfolgung nicht stattfinden kann (z. B. aufgrund eines nicht funktionierenden Justizwesens). In diesem Zusammenhang erwähnte der Bundesrat am 18. März 2019 ein einziges Ausbürgerungsverfahren, das bisher lediglich eingeleitet wurde. Er fügte hinzu, dass die Eröffnung weiterer Verfahren geprüft würde, wobei der Bundesrat keine genauen Angaben machte, mit denen sich einschä…</t>
        </is>
      </c>
      <c r="F34" s="5" t="inlineStr"/>
      <c r="G34" s="5" t="inlineStr"/>
      <c r="H34" s="6">
        <f>IF(F34="nein","nein",IF(OR(F34="",G34=""),"",IF(AND(F34="ja",G34="Ziel"),"ja",IF(G34="Nebensache","nein","unsicher"))))</f>
        <v/>
      </c>
      <c r="I34" s="7" t="inlineStr"/>
      <c r="J34" s="5" t="inlineStr"/>
    </row>
    <row r="35">
      <c r="A35" t="n">
        <v>34</v>
      </c>
      <c r="B35" t="n">
        <v>331346</v>
      </c>
      <c r="C35" s="2" t="inlineStr">
        <is>
          <t>Interkantonale Anerkennung von amtlichen Bescheinigungen in elektronischer Form</t>
        </is>
      </c>
      <c r="D35" s="4" t="inlineStr">
        <is>
          <t>open</t>
        </is>
      </c>
      <c r="E35" s="2" t="inlineStr">
        <is>
          <t>[Official DE version; original is FR] TEXT: Im Rahmen des Ausbaus der digitalen Dienste auf kantonaler und kommunaler Ebene stellen einige Behörden nun amtliche Bescheinigungen in elektronischer Form aus. Konkrete Fälle zeigen jedoch, dass diese Dokumente von anderen Behörden nicht immer anerkannt werden. So wurde eine von einer Walliser Gemeinde elektronisch ausgestellte Wohnsitzbestätigung von einem Freiburger Zivilstandsamt abgelehnt mit der Begründung, dass dieses aufgrund der fehlenden Unterschrift an der Echtheit des Dokuments zweifelte. In solchen Fällen müssen die Behörden nachträglich ein Dokument in Papierform erstellen, wodurch der Nutzen des digitalen Verfahrens verloren geht. Solche Situationen untergraben die Glaubwürdigkeit digitaler Dienste, verursachen Mehrkosten und behindern den Übergang zu einer effizienten und einheitlichen digitalen Verwaltung. Ich bitte deshalb den Bundesrat, folgende Fragen zu beantworten: Sind dem Bundesrat Fälle bekannt, in denen von einer Behörde ausgestellte amtliche Dokumente in elektronischer Form von einer anderen Behörde, insbesondere in einem anderen Kanton, nicht anerkannt werden? Welche rechtlichen Grundlagen, Standards oder Empfehlungen gibt es derzeit auf Bundeseben…</t>
        </is>
      </c>
      <c r="F35" s="5" t="inlineStr"/>
      <c r="G35" s="5" t="inlineStr"/>
      <c r="H35" s="6">
        <f>IF(F35="nein","nein",IF(OR(F35="",G35=""),"",IF(AND(F35="ja",G35="Ziel"),"ja",IF(G35="Nebensache","nein","unsicher"))))</f>
        <v/>
      </c>
      <c r="I35" s="7" t="inlineStr"/>
      <c r="J35" s="5" t="inlineStr"/>
    </row>
    <row r="36">
      <c r="A36" t="n">
        <v>35</v>
      </c>
      <c r="B36" t="n">
        <v>153262</v>
      </c>
      <c r="C36" s="2" t="inlineStr">
        <is>
          <t>Gesetzliche Vertretung von Dienstleistern in der Schweiz</t>
        </is>
      </c>
      <c r="D36" s="4" t="inlineStr">
        <is>
          <t>open</t>
        </is>
      </c>
      <c r="E36" s="2" t="inlineStr">
        <is>
          <t>[Official DE version; original is IT] TEXT: Mit den gegenwärtigen strukturellen Veränderungen, namentlich der Digitalisierung, ändern die Gegebenheiten im Bereich der Telekommunikation. Daher müssen neue gesetzgeberische Massnahmen vorgesehen werden, um sich an diese unaufhaltsamen Entwicklungen anzupassen. Die sozialen Netzwerke wie Facebook und Twitter sind fester Bestandteil des Alltags der Schweizerinnen und Schweizer. Die Netzwerke erbringen Dienste für die Schweizer Konsumentinnen und Konsumenten und befinden sich daher digital auf unserem Staatsgebiet. Dennoch haben sie nicht zwangsläufig einen eigenständigen rechtlichen Status in der Schweiz. Diese Situation ist problematisch. In Fällen von Cybermobbing, übler Nachrede oder bei anderen Ermittlungen stösst die Justiz nämlich an Grenzen, wenn es darum geht, für ein Verfahren Daten zu erlangen. Davon zeugt der Bundesgerichtsentscheid 1B_185/2016 in einer Rechtssache zwischen der waadtländischen Staatsanwaltschaft und Facebook Switzerland. Demnach braucht es ein - allzu langsames - Verfahren internationaler Rechtshilfe in Strafsachen, um an die für die Ermittlung nötigen Daten zu gelangen. Hinzu kommt, dass kürzlich Fälle von geplanter Obsoleszenz Aufsehen erregt h…</t>
        </is>
      </c>
      <c r="F36" s="5" t="inlineStr"/>
      <c r="G36" s="5" t="inlineStr"/>
      <c r="H36" s="6">
        <f>IF(F36="nein","nein",IF(OR(F36="",G36=""),"",IF(AND(F36="ja",G36="Ziel"),"ja",IF(G36="Nebensache","nein","unsicher"))))</f>
        <v/>
      </c>
      <c r="I36" s="7" t="inlineStr"/>
      <c r="J36" s="5" t="inlineStr"/>
    </row>
    <row r="37">
      <c r="A37" t="n">
        <v>36</v>
      </c>
      <c r="B37" t="n">
        <v>216073</v>
      </c>
      <c r="C37" s="2" t="inlineStr">
        <is>
          <t>Die Ausbeutung des Kongo, der Elfenbeinküste, Ecuadors oder Guineas darf keine Anpassungsvariable für Bundes- und Kantonsbudgets sein. Für eine Umverteilung von konfisziertem Eigentum und von Ersatzforderungen an die geschädigte Bevölkerung</t>
        </is>
      </c>
      <c r="D37" s="4" t="inlineStr">
        <is>
          <t>open</t>
        </is>
      </c>
      <c r="E37" s="2" t="inlineStr">
        <is>
          <t>TEXT: Ich fordere den Bundesrat auf, Massnahmen zu prüfen, damit eingezogene Vermögenswerte und Ersatzforderungen, die in der Schweiz ansässigen multinationalen Unternehmen für im Ausland begangene Straftaten auferlegt werden, der Bevölkerung der Länder zugute kommen, in denen die Straftaten begangen wurden. Diese Rückzahlungen sollten nicht mehr davon abhängig gemacht werden, ob die Staaten beim Verfahren, das zu diesen Verurteilungen geführt hat, Unterstützung geleistet haben. Der Bundesrat soll zudem die Möglichkeit prüfen, diese Gelder für humanitäre Projekte oder Entwicklungs- oder Menschenrechtsprojekte zu verwenden, die von der Zivilgesellschaft dieser Länder - oder in Ermangelung solcher Programme oder ergänzend dazu - vom Bund (internationale Zusammenarbeit) oder von internationalen Regierungs- oder Nichtregierungsorganisationen durchgeführt werden.
REASONING: In der Schweiz ansässige Unternehmen werden mit kriminellen Aktivitäten im Ausland in Verbindung gebracht. Vom Ausmass dieser Aktivitäten zeugen mehrere Strafverfahren, in die Gunvor und Glencore verwickelt sind. Das Strafrecht ermöglicht es den Justizbehörden, diese Unternehmen zusätzlich zu einer Geldstrafe zur Za…</t>
        </is>
      </c>
      <c r="F37" s="5" t="inlineStr"/>
      <c r="G37" s="5" t="inlineStr"/>
      <c r="H37" s="6">
        <f>IF(F37="nein","nein",IF(OR(F37="",G37=""),"",IF(AND(F37="ja",G37="Ziel"),"ja",IF(G37="Nebensache","nein","unsicher"))))</f>
        <v/>
      </c>
      <c r="I37" s="7" t="inlineStr"/>
      <c r="J37" s="5" t="inlineStr"/>
    </row>
    <row r="38">
      <c r="A38" t="n">
        <v>37</v>
      </c>
      <c r="B38" t="n">
        <v>234999</v>
      </c>
      <c r="C38" s="2" t="inlineStr">
        <is>
          <t>Zukunftsfähige Forschung mit einem Plan für den Ausstieg aus belastenden Tierversuchen fördern</t>
        </is>
      </c>
      <c r="D38" s="4" t="inlineStr">
        <is>
          <t>open</t>
        </is>
      </c>
      <c r="E38" s="2" t="inlineStr">
        <is>
          <t>[Official DE version; original is IT] TEXT: Das bestehende Tierschutzgesetz soll mit einem stufenweisen Ausstiegsplan aus belastenden Tierversuchen ergänzt werden. Der Ausstiegsplan legt verbindliche Ziele, Meilensteine und Fristen fest. Die Ausarbeitung des Ausstiegsplans soll unter Einbezug von Wissenschaft, Tierschutz und Industrie erfolgen.
REASONING: Das Tierschutzgesetz legt bereits heute fest, dass Tierversuche auf das unerlässliche Mass zu beschränken sind (Art. 17) und Belastungen nur zugelassen sind, soweit diese für den Zweck des Versuchs unvermeidlich sind (Art. 20 Abs. 1). Bereits mit heutigen Technologien können eine Vielzahl der Ziele der Versuche mit Methoden ohne Tierversuche erreicht werden. Dabei zeigt sich, dass diese tierversuchsfreien Methoden in punkto Übertragbarkeit, Nutzen und Kosten dem Tierversuch deutlich überlegen sind (1). Die Entwicklung dieser Methoden schreitet kontinuierlich voran: Mit entsprechenden Massnahmen wie bspw. eine stärkere Finanzierung kann sie aber auch beschleunigt werden. Wenn die Schweiz sich vermehrt dafür einsetzt, dass tierversuchsfreie Methoden in unserem Forschungsplatz entwickelt und angewendet werden, kann sie sich auf lange Sicht als wichtige, internationale I…</t>
        </is>
      </c>
      <c r="F38" s="5" t="inlineStr"/>
      <c r="G38" s="5" t="inlineStr"/>
      <c r="H38" s="6">
        <f>IF(F38="nein","nein",IF(OR(F38="",G38=""),"",IF(AND(F38="ja",G38="Ziel"),"ja",IF(G38="Nebensache","nein","unsicher"))))</f>
        <v/>
      </c>
      <c r="I38" s="7" t="inlineStr"/>
      <c r="J38" s="5" t="inlineStr"/>
    </row>
    <row r="39">
      <c r="A39" t="n">
        <v>38</v>
      </c>
      <c r="B39" t="n">
        <v>67274</v>
      </c>
      <c r="C39" s="2" t="inlineStr">
        <is>
          <t>Biodiversität und Finanzstabilität. Bericht des Network for Greening the Financial System</t>
        </is>
      </c>
      <c r="D39" s="4" t="inlineStr">
        <is>
          <t>open</t>
        </is>
      </c>
      <c r="E39" s="2" t="inlineStr">
        <is>
          <t>[Official DE version; original is IT] TEXT: Die Schweiz ist beim Network for Greening the Financial System (NGFS) engagiert, einem Zusammenschluss der Zentralbanken und Aufsichtsbehörden, die sich für einen klima- und biodiversitätsfreundlichen Finanzsektor einsetzen. 2021 wurde im Bericht "Biodiversity and Financial Stability" vier Empfehlungen abgegeben, was Zentralbanken schon heute unternehmen können. Deshalb ersuche ich den Bundesrat zur Beantwortung folgender Fragen: 1. Was tut der Bundesrat um die biodiversitätsrelevanten ökonomischen und finanziellen Risiken zu adressieren? (Task 1) 2. Analysiert der Bundesrat die Abhängigkeit und die Wirkung Schweizer Finanzinstitute auf Ökosysteme und Biodiversität? (Task 2) 3. Wenn nein, warum nicht? 4. Plant der Bundesrat Methoden aufzubauen, um biodiversitätsrelevante Finanzrisiken besser zu verstehen (abgesehen vom ENCORE Tool)? (Task 3) 5. Inwiefern informiert der Bundesrat Finanzinstitute über Abhängigkeiten und Wirkungen der Finanzinstitute auf die Biodiversität? (Task 4) 6. Lässt sich der Bundesrat über die entsprechenden Arbeiten bei der SNB und der FINMA regelmässig informieren? 7. Erfolgt eine externe Überprüfung, ob die SNB und die FINMA diese neuen Risiken richti…</t>
        </is>
      </c>
      <c r="F39" s="5" t="inlineStr"/>
      <c r="G39" s="5" t="inlineStr"/>
      <c r="H39" s="6">
        <f>IF(F39="nein","nein",IF(OR(F39="",G39=""),"",IF(AND(F39="ja",G39="Ziel"),"ja",IF(G39="Nebensache","nein","unsicher"))))</f>
        <v/>
      </c>
      <c r="I39" s="7" t="inlineStr"/>
      <c r="J39" s="5" t="inlineStr"/>
    </row>
    <row r="40">
      <c r="A40" t="n">
        <v>39</v>
      </c>
      <c r="B40" t="n">
        <v>154848</v>
      </c>
      <c r="C40" s="2" t="inlineStr">
        <is>
          <t>Sexuelle Gewalt an Kindern im Internet. Was macht das Bundesamt für Polizei?</t>
        </is>
      </c>
      <c r="D40" s="4" t="inlineStr">
        <is>
          <t>open</t>
        </is>
      </c>
      <c r="E40" s="2" t="inlineStr">
        <is>
          <t>[Official DE version; original is FR] TEXT: Der Bundesrat wird beauftragt zu prüfen: 1. wie das Fedpol zielführend die Schnittstelle zwischen internationaler Ebene und Kantonen im Bereich der Pädokriminalität wahrnimmt sowie welche strukturellen, personellen und technischen Mittel dazu nötig sind; 2. wie mit den ständig ansteigenden Verdachtsmeldungen aus dem Ausland umgegangen wird, damit diese ebenso sorgfältig geprüft werden können und zu den nötigen Strafverfahren in den Kantonen führen; 3. wie mit Verdachtsmeldungen umgegangen wird, welche zwar die Schweiz betreffen, jedoch nicht eindeutig einem Kanton zugeordnet werden können; 4. wie eine wirksame nationale Meldestelle für Verdachtsmeldungen auf sexuelle Gewalt an Kindern online konzipiert sein sollte; 5. welche gesetzlichen, technischen, personellen und sonstigen Massnahmen nötig sind, damit die Bundespolizei ihre Aufgabe der Bekämpfung der Pädokriminalität wirksam wahrnehmen kann.
REASONING: Immer mehr Kinder werden via Internet sexuell belästigt ("EU Kids online"-Studie). Die an die Schweiz übermittelten Verdachtsmeldungen auf Kinderpornografie steigen exponentiell (Pressemitteilung Fedpol). Es werden immer mehr Fälle von Schweizern bekannt, welche sich einen…</t>
        </is>
      </c>
      <c r="F40" s="5" t="inlineStr"/>
      <c r="G40" s="5" t="inlineStr"/>
      <c r="H40" s="6">
        <f>IF(F40="nein","nein",IF(OR(F40="",G40=""),"",IF(AND(F40="ja",G40="Ziel"),"ja",IF(G40="Nebensache","nein","unsicher"))))</f>
        <v/>
      </c>
      <c r="I40" s="7" t="inlineStr"/>
      <c r="J40" s="5" t="inlineStr"/>
    </row>
    <row r="41">
      <c r="A41" t="n">
        <v>40</v>
      </c>
      <c r="B41" t="n">
        <v>202440</v>
      </c>
      <c r="C41" s="2" t="inlineStr">
        <is>
          <t>Inkassounternehmen. Für eine bessere Information der Konsumentinnen und Konsumenten</t>
        </is>
      </c>
      <c r="D41" s="4" t="inlineStr">
        <is>
          <t>open</t>
        </is>
      </c>
      <c r="E41" s="2" t="inlineStr">
        <is>
          <t>TEXT: Der Bundesrat wird beauftragt, eine Einrichtung zur Entgegennahme von Beschwerden zu schaffen, damit Konsumentinnen und Konsumenten die Verarbeitung ihrer Daten durch private Inkassounternehmen und Kreditauskunfteien wenn nötig anfechten können. Die Einrichtung wäre dem Eidgenössischen Datenschutz- und Öffentlichkeitsbeauftragten (EDÖB) angegliedert, würde über ein eigenes Budget verfügen und auch Sensibilisierungs- und Informationsarbeit leisten.
REASONING: Unternehmen, die im Bereich Inkasso tätig sind, geben Auskünfte über die Zahlungsfähigkeit der ihnen bekannten Debitorinnen und Debitoren, ohne dabei den gesetzlichen Rahmen immer einzuhalten. Die Art, wie die Daten gesammelt werden, ist undurchsichtig, insbesondere bei Online-Einkäufen oder wenn die Daten basierend auf Algorithmen gesammelt werden, die eine Person aufgrund von Verhaltensdaten bewerten. Die Konsumentinnen und Konsumenten haben so gut wie keine Kontrolle darüber, wie ihre persönlichen Daten und Informationen zu ihren Zahlungsgewohnheiten gesammelt und weitergegeben werden. Doch auf dieser Grundlage getroffene Entscheidungen können schwerwiegende Folgen haben: Es kann soweit kommen, dass Konsumentinnen und…</t>
        </is>
      </c>
      <c r="F41" s="5" t="inlineStr"/>
      <c r="G41" s="5" t="inlineStr"/>
      <c r="H41" s="6">
        <f>IF(F41="nein","nein",IF(OR(F41="",G41=""),"",IF(AND(F41="ja",G41="Ziel"),"ja",IF(G41="Nebensache","nein","unsicher"))))</f>
        <v/>
      </c>
      <c r="I41" s="7" t="inlineStr"/>
      <c r="J41" s="5" t="inlineStr"/>
    </row>
    <row r="42">
      <c r="A42" t="n">
        <v>41</v>
      </c>
      <c r="B42" t="n">
        <v>155280</v>
      </c>
      <c r="C42" s="2" t="inlineStr">
        <is>
          <t>Rechtshilfe gegenüber Griechenland. Zu neuen Ersuchen ermuntern</t>
        </is>
      </c>
      <c r="D42" s="4" t="inlineStr">
        <is>
          <t>open</t>
        </is>
      </c>
      <c r="E42" s="2" t="inlineStr">
        <is>
          <t>TEXT: Das Bundesstrafgericht und danach das Bundesgericht haben vorläufig die Herausgabe von Bankdaten an die griechischen Strafverfolgungsbehörden durch die Bundesanwaltschaft blockiert. Der Entscheid schockiert in einem krassen Korruptionsfall, der im Jahr 2013 bereits zur Verurteilung des ehemaligen Verteidigungsministers Tsochatzopoulos zu einer Freiheitsstrafe von 20 Jahren führte. Als Grund nannten die Gerichte den Verdacht, dass das Rechtshilfeersuchen auf den Bankdaten der Falciani-Liste beruhe. Wird das Bundesamt für Justiz den griechischen Behörden nahelegen, ihr Anliegen noch einmal vorzubringen und dabei zu belegen, dass das Ersuchen nicht auf den Daten der Falciani-Liste beruht?
ANSWER: Die Antwort des Bundesrates existiert nur in französischer Sprache. (Bitte wechseln Sie auf der Homepage oben rechts die Sprache)</t>
        </is>
      </c>
      <c r="F42" s="5" t="inlineStr"/>
      <c r="G42" s="5" t="inlineStr"/>
      <c r="H42" s="6">
        <f>IF(F42="nein","nein",IF(OR(F42="",G42=""),"",IF(AND(F42="ja",G42="Ziel"),"ja",IF(G42="Nebensache","nein","unsicher"))))</f>
        <v/>
      </c>
      <c r="I42" s="7" t="inlineStr"/>
      <c r="J42" s="5" t="inlineStr"/>
    </row>
    <row r="43">
      <c r="A43" t="n">
        <v>42</v>
      </c>
      <c r="B43" t="n">
        <v>201674</v>
      </c>
      <c r="C43" s="2" t="inlineStr">
        <is>
          <t>Revision des Nachrichtendienstgesetzes. Arztgeheimnis und Berufsgeheimnis sind in Gefahr!</t>
        </is>
      </c>
      <c r="D43" s="4" t="inlineStr">
        <is>
          <t>open</t>
        </is>
      </c>
      <c r="E43" s="2" t="inlineStr">
        <is>
          <t>[Official DE version; original is FR] TEXT: Die Beratung und Behandlung von Patientinnen und Patienten haben zur Folge, dass das medizinische Personal sensible Informationen erhält, die deren Privat- und Intimsphäre betreffen. Die betroffenen Personen geben solche Informationen preis, weil sie sich sicher sind, dass diese vertraulich behandelt werden. Diese Pflicht zur Gewährleistung der Vertraulichkeit ist eine zwingende Voraussetzung für den Erfolg einer Diagnose und einer Behandlung. Der Bundesrat will im Entwurf, der zurzeit in Vernehmlassung ist, Artikel 28 Absatz 2 NDG ohne Angabe einer Begründung streichen. Dadurch schwächt er den Schutz des Berufsgeheimnisses deutlich. Laut dem erläuternden Bericht soll der NDB genehmigungspflichtige Massnahmen (Überwachung des Post- und Fernmeldeverkehrs, Eindringen in Computer usw.) neu auch für medizinisches Personal, Geistliche, Anwältinnen und Anwälte und Journalistinnen und Journalisten anordnen können. Das wäre eine gravierende Aufweichung der Bestimmungen zum Schutz des Berufsgeheimnisses, insbesondere des Arztgeheimnisses, des Anwaltsgeheimnisses, des Beichtgeheimnisses und des Quellenschutzes im Journalismus, die für das Vertrauen in Beziehungen und in die Demokratie …</t>
        </is>
      </c>
      <c r="F43" s="5" t="inlineStr"/>
      <c r="G43" s="5" t="inlineStr"/>
      <c r="H43" s="6">
        <f>IF(F43="nein","nein",IF(OR(F43="",G43=""),"",IF(AND(F43="ja",G43="Ziel"),"ja",IF(G43="Nebensache","nein","unsicher"))))</f>
        <v/>
      </c>
      <c r="I43" s="7" t="inlineStr"/>
      <c r="J43" s="5" t="inlineStr"/>
    </row>
    <row r="44">
      <c r="A44" t="n">
        <v>43</v>
      </c>
      <c r="B44" t="n">
        <v>335116</v>
      </c>
      <c r="C44" s="2" t="inlineStr">
        <is>
          <t>Förderprogramm für den bedarfsgerechten Ausbau von Tagesschulangeboten</t>
        </is>
      </c>
      <c r="D44" s="4" t="inlineStr">
        <is>
          <t>open</t>
        </is>
      </c>
      <c r="E44" s="2" t="inlineStr">
        <is>
          <t>TEXT: Der Bundesrat wird beauftragt, die gesetzlichen Grundlagen für ein zeitlich befristetes Förderprogramm zu schaffen, mit dem Kantone und Gemeinden beim Auf- und Ausbau von Tagesschulangeboten finanziell unterstützt werden können. Das Förderprogramm ist so auszugestalten, dass die Zuständigkeiten und die Autonomie der Kantone im Bildungsbereich uneingeschränkt gewahrt bleiben.
REASONING: Tagesschulen leisten einen wichtigen Beitrag zur Chancengerechtigkeit, zur Vereinbarkeit von Familie und Beruf sowie zur besseren Nutzung des inländischen Arbeitskräftepotenzials. Sie verbinden Bildung, Förderung und Betreuung und schaffen verlässliche Strukturen für Kinder und Familien. Die Verfügbarkeit von Tagesschulangeboten ist in der Schweiz je nach Kanton und Gemeinde sehr unterschiedlich. Dadurch entstehen Ungleichheiten sowohl für Familien als auch für Kinder. Mit der unbefristeten Unterstützung der familien- und schulergänzenden Kinderbetreuung auf Bundesebene hat das Parlament die Bedeutung einer guten Betreuungsinfrastruktur anerkannt. Der Ausbau von Tagesschulangeboten stellt eine sinnvolle Ergänzung dieser Politik dar. Tagesschulen erleichtern Eltern die Vereinbarkeit von Familie…</t>
        </is>
      </c>
      <c r="F44" s="5" t="inlineStr"/>
      <c r="G44" s="5" t="inlineStr"/>
      <c r="H44" s="6">
        <f>IF(F44="nein","nein",IF(OR(F44="",G44=""),"",IF(AND(F44="ja",G44="Ziel"),"ja",IF(G44="Nebensache","nein","unsicher"))))</f>
        <v/>
      </c>
      <c r="I44" s="7" t="inlineStr"/>
      <c r="J44" s="5" t="inlineStr"/>
    </row>
    <row r="45">
      <c r="A45" t="n">
        <v>44</v>
      </c>
      <c r="B45" t="n">
        <v>213749</v>
      </c>
      <c r="C45" s="2" t="inlineStr">
        <is>
          <t>Explosion der Gesundheitskosten. Wann kommen endlich wirksame Massnahmen gegen die Verschwendung von Prämiengeldern und zur Dämpfung der Kosten?</t>
        </is>
      </c>
      <c r="D45" s="4" t="inlineStr">
        <is>
          <t>open</t>
        </is>
      </c>
      <c r="E45" s="2" t="inlineStr">
        <is>
          <t>[Official DE version; original is FR] TEXT: Wie jedes Jahr zur gleichen Zeit ist das Spiel der Krankenkassen in vollem Gange. Die Werbung der Versicherer erreicht die Haushalte auf den verschiedensten Kanälen. Einige Krankenkassen informieren über Rabatte, andere versprechen Prämienreduktionen für das nächste Jahr, während Santésuisse im Sommer einen allgemeinen Anstieg der Krankenkassenprämien von 3 Prozent ankündigte. 1. Das legt den Verdacht, dass die Krankenkassen - wie in früheren Wahljahren - stärker als üblich auf die Reserven zurückgreifen müssen, um den Prämienanstieg zu minimieren. Wie stellt sich das Bundesamt für Gesundheit (BAG) als zuständige Prämiengenehmigungsbehörde zu diesem Verdacht? Mussten und müssten Reserven für günstigere Prämien abgebaut werden? 2. Die Digitalisierung muss auch im Gesundheitswesen positiv genutzt werden. Sie bringt Effizienzsteigerungen, mehr Qualität und mehr Informationen für Versicherte und Patienten. Vor einem Jahr hat der Bundesrat einen Vorstoss abgelehnt, der eine gesetzliche Grundlage verlangte, um sicherzustellen, dass sowohl die medizinischen Patientendokumentationen elektronisch strukturiert geführt wie auch für die Behandlung relevante Dokumente wie Rezepte, Überwei…</t>
        </is>
      </c>
      <c r="F45" s="5" t="inlineStr"/>
      <c r="G45" s="5" t="inlineStr"/>
      <c r="H45" s="6">
        <f>IF(F45="nein","nein",IF(OR(F45="",G45=""),"",IF(AND(F45="ja",G45="Ziel"),"ja",IF(G45="Nebensache","nein","unsicher"))))</f>
        <v/>
      </c>
      <c r="I45" s="7" t="inlineStr"/>
      <c r="J45" s="5" t="inlineStr"/>
    </row>
    <row r="46">
      <c r="A46" t="n">
        <v>45</v>
      </c>
      <c r="B46" t="n">
        <v>235214</v>
      </c>
      <c r="C46" s="2" t="inlineStr">
        <is>
          <t>Woran orientiert sich die Finma bei ihrer Regulierungstätigkeit?</t>
        </is>
      </c>
      <c r="D46" s="4" t="inlineStr">
        <is>
          <t>open</t>
        </is>
      </c>
      <c r="E46" s="2" t="inlineStr">
        <is>
          <t>TEXT: Im Schweizer Finanzmarkt spielt wie weltweit üblich international ausgearbeitetes Soft Law eine zentrale Rolle. Dieses wird in Behördennetzwerken ausgearbeitet, in denen Zentralbanken bzw. Finanzmarktaufsichtbehörden zusammenarbeiten und internationale Standards setzen. So ist die schweizerische Finanzmarktaufsicht FINMA in verschiedenen internationalen Gremien vertreten. In diesen Gremien wird internationales Soft Law im Bereich Finanzmarktregulierung mit Spillover-Effekt auf nationaler Ebene entwickelt. Dieses Soft Law in Form von (Mindest-)Standards hat zwar keine Bindungswirkung, muss aber von der FINMA bei ihrer Regulierungstätigkeit berücksichtigt werden. Aktuelle Beispiele aus der Regulierungstätigkeit der FINMA bezeugen die Einhaltung dieses Grundsatzes: Geplantes Rundschreiben Naturbezogene Finanzrisiken (Rundschreiben basiert u.a. auf Soft Law des Basler Ausschusses für Bankenaufsicht) Totalrevision Rundschreiben 13/5 Liquidität – Versicherer (Revision erfolgt u.a. im Hinblick auf Soft Law der internationalen Vereinigung der Versicherungsaufsichtsbehörden) Gleichzeitig muss festgestellt werden, dass die Beachtung internationaler (Mindest-)Standards unweigerlich zu Z…</t>
        </is>
      </c>
      <c r="F46" s="5" t="inlineStr"/>
      <c r="G46" s="5" t="inlineStr"/>
      <c r="H46" s="6">
        <f>IF(F46="nein","nein",IF(OR(F46="",G46=""),"",IF(AND(F46="ja",G46="Ziel"),"ja",IF(G46="Nebensache","nein","unsicher"))))</f>
        <v/>
      </c>
      <c r="I46" s="7" t="inlineStr"/>
      <c r="J46" s="5" t="inlineStr"/>
    </row>
    <row r="47">
      <c r="A47" t="n">
        <v>46</v>
      </c>
      <c r="B47" t="n">
        <v>65002</v>
      </c>
      <c r="C47" s="2" t="inlineStr">
        <is>
          <t>E-Parlament als eine mögliche Antwort auf Notsituationen wie infolge des Coronavirus</t>
        </is>
      </c>
      <c r="D47" s="4" t="inlineStr">
        <is>
          <t>open</t>
        </is>
      </c>
      <c r="E47" s="2" t="inlineStr">
        <is>
          <t>[Official DE version; original is FR] TEXT: Vor dem Hintergrund einer drohenden Notstandssituation aufgrund des Coronavirus, auch in der Schweiz, bitte ich das Büro um Beantwortung nachstehender Fragen: 1. Wie kann das gute Funktionieren der Institutionen in Notsituationen aufrechterhalten werden? 2. Wäre es im Grundsatz möglich, in Notsituationen parlamentarische Entscheide zu fällen, ohne dass das Parlament sich physisch im Parlament versammelt? 3. Falls das heute nicht möglich ist, welche verfassungsrechtlichen/gesetzgeberischen Grundlagen müssen geschaffen werden, damit der Ratsbetrieb in Krisensituationen auch ohne physische Anwesenheit aufrechterhalten werden kann? 4. Welche technischen Voraussetzungen (elektronische Identitäten, Programme zur Abwicklung von politischen Prozessen etc.) wären erforderlich, um den Ratsbetrieb online sicher und effizient zu gestalten?
REASONING: Die Herausforderungen, die der Ratsbetrieb an die Parlamentarierinnen und Parlamentarier im Milizsystem im Alltag stellen, sind bereits gross. Im Zuge von Notsituationen wie z.B. in der aktuellen Ausgangslage mit dem Coronavirus, ist die Sicherstellung des formalen Ratsbetriebs und der materiellen Ratsarbeit zusätzlich erschwert.
ANSWER: 1…</t>
        </is>
      </c>
      <c r="F47" s="5" t="inlineStr"/>
      <c r="G47" s="5" t="inlineStr"/>
      <c r="H47" s="6">
        <f>IF(F47="nein","nein",IF(OR(F47="",G47=""),"",IF(AND(F47="ja",G47="Ziel"),"ja",IF(G47="Nebensache","nein","unsicher"))))</f>
        <v/>
      </c>
      <c r="I47" s="7" t="inlineStr"/>
      <c r="J47" s="5" t="inlineStr"/>
    </row>
    <row r="48">
      <c r="A48" t="n">
        <v>47</v>
      </c>
      <c r="B48" t="n">
        <v>155568</v>
      </c>
      <c r="C48" s="2" t="inlineStr">
        <is>
          <t>Assistenzdienst der Armee zugunsten der zivilen Behörden im Rahmen der Massnahmen zur Bekämpfung der Covid-19-Pandemie</t>
        </is>
      </c>
      <c r="D48" s="4" t="inlineStr">
        <is>
          <t>open</t>
        </is>
      </c>
      <c r="E48" s="2" t="inlineStr">
        <is>
          <t xml:space="preserve">[Official DE version; original is IT] </t>
        </is>
      </c>
      <c r="F48" s="5" t="inlineStr"/>
      <c r="G48" s="5" t="inlineStr"/>
      <c r="H48" s="6">
        <f>IF(F48="nein","nein",IF(OR(F48="",G48=""),"",IF(AND(F48="ja",G48="Ziel"),"ja",IF(G48="Nebensache","nein","unsicher"))))</f>
        <v/>
      </c>
      <c r="I48" s="7" t="inlineStr"/>
      <c r="J48" s="5" t="inlineStr"/>
    </row>
    <row r="49">
      <c r="A49" t="n">
        <v>48</v>
      </c>
      <c r="B49" t="n">
        <v>161710</v>
      </c>
      <c r="C49" s="2" t="inlineStr">
        <is>
          <t>Einführung DigiFLUX - Wie wird die Verordnung (SR 919.117.71) bezüglich Flächenangabe (Anhang 3b - 5.4) genau umgesetzt?</t>
        </is>
      </c>
      <c r="D49" s="4" t="inlineStr">
        <is>
          <t>open</t>
        </is>
      </c>
      <c r="E49" s="2" t="inlineStr">
        <is>
          <t>[Official DE version; original is FR] TEXT: Die Verordnung über Informationssysteme im Bereich der Landwirtschaft erklärt im Anhang 3b Absatz 5.4, dass für die Erhebungen im Bereich Verwendung vom Pflanzenschutzmitteln allein die behandelte Fläche angegeben werden muss. Nun soll diese jedoch auf der Plattform DigiFLUX georeferenziert/parzellengenau erfasst werden. Wie genau ist hierbei die Umsetzung geplant?
ANSWER: Die Antwort des Bundesrates existiert nur in französischer Sprache. (Bitte wechseln Sie auf der Homepage oben rechts die Sprache)</t>
        </is>
      </c>
      <c r="F49" s="5" t="inlineStr"/>
      <c r="G49" s="5" t="inlineStr"/>
      <c r="H49" s="6">
        <f>IF(F49="nein","nein",IF(OR(F49="",G49=""),"",IF(AND(F49="ja",G49="Ziel"),"ja",IF(G49="Nebensache","nein","unsicher"))))</f>
        <v/>
      </c>
      <c r="I49" s="7" t="inlineStr"/>
      <c r="J49" s="5" t="inlineStr"/>
    </row>
    <row r="50">
      <c r="A50" t="n">
        <v>49</v>
      </c>
      <c r="B50" t="n">
        <v>68419</v>
      </c>
      <c r="C50" s="2" t="inlineStr">
        <is>
          <t>Förderung von Audiowerken als Schweizer Kulturgut</t>
        </is>
      </c>
      <c r="D50" s="4" t="inlineStr">
        <is>
          <t>open</t>
        </is>
      </c>
      <c r="E50" s="2" t="inlineStr">
        <is>
          <t>TEXT: Audiowerke sind Hörspiele, Reportagen, Doku-Serien und hochwertige Talks, die als Podcasts oder über das lineare Radio veröffentlicht werden. Das Angebot und die Nachfrage des Publikums nach hochwertigen Schweizer Produktionen ist stark gestiegen. Die Digitalisierung vereinfacht zwar die Realisierung von unabhängigen Produktionen und Online-Distributionsplattformen ermöglichen deren Verbreitung. Doch die Finanzierungsmöglichkeiten sind prekär. Aufwändige Audioformate geraten zudem auch im linearen Radio zunehmend unter Spardruck. Audiowerke leisten einen wichtigen Beitrag zur kulturellen Vielfalt und zur gesellschaftlichen Verständigung in der Schweiz. Sie fördern die Auseinandersetzung mit relevanten gesellschaftlichen und politischen Themen und die Kultur des aktiven Zuhörens, was wichtige Grundlagen einer funktionierenden Demokratie sind. Schweizer Audioschaffende realisieren ihre preisgekrönten Podcasts vermehrt ausserhalb von gebührenfinanzierten Radiostationen. In der Vielfalt von Berufsbildern, Themen und Methoden ist die wachsende Schweizer Audiobranche mit der Schweizer Filmindustrie vergleichbar. Während der Bund jedoch das Schweizer Filmschaffen als eigene kulturel…</t>
        </is>
      </c>
      <c r="F50" s="5" t="inlineStr"/>
      <c r="G50" s="5" t="inlineStr"/>
      <c r="H50" s="6">
        <f>IF(F50="nein","nein",IF(OR(F50="",G50=""),"",IF(AND(F50="ja",G50="Ziel"),"ja",IF(G50="Nebensache","nein","unsicher"))))</f>
        <v/>
      </c>
      <c r="I50" s="7" t="inlineStr"/>
      <c r="J50" s="5" t="inlineStr"/>
    </row>
    <row r="51">
      <c r="A51" t="n">
        <v>50</v>
      </c>
      <c r="B51" t="n">
        <v>340891</v>
      </c>
      <c r="C51" s="2" t="inlineStr">
        <is>
          <t>Schutz der parlamentarischen Redefreiheit – Schreiben der EMS-Chemie Holding AG an Nationalrat Fabian Molina</t>
        </is>
      </c>
      <c r="D51" s="4" t="inlineStr">
        <is>
          <t>open</t>
        </is>
      </c>
      <c r="E51" s="2" t="inlineStr">
        <is>
          <t>[Official DE version; original is FR] TEXT: Am 24. September 2026 hat die EMS-Chemie Holding AG Nationalrat Fabian Molina ein eingeschriebenes Schreiben zukommen lassen, das sich ausdrücklich auf dessen Frage 26.7751 an den Bundesrat in der Fragestunde bezieht. Das Unternehmen wirft ihm darin vor, mittels seiner «öffentlich einsehbaren Frage an den Bundesrat» wissentlich falsche, verunglimpfende und rufschädigende Behauptungen zu verbreiten, fordert ihn auf, «derartige Aussagen künftig zu unterlassen», und droht andernfalls damit, ihn «hierfür haftbar zu machen». Gegenstand der Beanstandung ist damit nicht eine Äusserung ausserhalb des Ratsbetriebs, sondern die Ausübung des parlamentarischen Fragerechts selbst. Nationalrat Molina hat in seiner Frage eine publizierte Recherche des Onlinemagazins «Republik» referiert und den Bundesrat um Prüfung gebeten. Genau dafür ist das Instrument der Fragestunde da. Ich bitte das Büro deshalb, um die Beantwortung folgender Fragen: Bestätigt das Büro, dass die Frage 26.7751 als Äusserung in einem Rat unter die absolute Immunität gemäss Art. 162 Abs. 1 BV und Art. 16 ParlG fällt und Nationalrat Molina dafür weder straf- noch zivilrechtlich belangt werden kann? Und teilt das Büro die A…</t>
        </is>
      </c>
      <c r="F51" s="5" t="inlineStr"/>
      <c r="G51" s="5" t="inlineStr"/>
      <c r="H51" s="6">
        <f>IF(F51="nein","nein",IF(OR(F51="",G51=""),"",IF(AND(F51="ja",G51="Ziel"),"ja",IF(G51="Nebensache","nein","unsicher"))))</f>
        <v/>
      </c>
      <c r="I51" s="7" t="inlineStr"/>
      <c r="J51" s="5" t="inlineStr"/>
    </row>
    <row r="52">
      <c r="A52" t="n">
        <v>51</v>
      </c>
      <c r="B52" t="n">
        <v>66518</v>
      </c>
      <c r="C52" s="2" t="inlineStr">
        <is>
          <t>Sicherheitspolitischer Bericht 2021</t>
        </is>
      </c>
      <c r="D52" s="4" t="inlineStr">
        <is>
          <t>open</t>
        </is>
      </c>
      <c r="E52" s="2" t="inlineStr">
        <is>
          <t xml:space="preserve">[Official DE version; original is IT] </t>
        </is>
      </c>
      <c r="F52" s="5" t="inlineStr"/>
      <c r="G52" s="5" t="inlineStr"/>
      <c r="H52" s="6">
        <f>IF(F52="nein","nein",IF(OR(F52="",G52=""),"",IF(AND(F52="ja",G52="Ziel"),"ja",IF(G52="Nebensache","nein","unsicher"))))</f>
        <v/>
      </c>
      <c r="I52" s="7" t="inlineStr"/>
      <c r="J52" s="5" t="inlineStr"/>
    </row>
    <row r="53">
      <c r="A53" t="n">
        <v>52</v>
      </c>
      <c r="B53" t="n">
        <v>71811</v>
      </c>
      <c r="C53" s="2" t="inlineStr">
        <is>
          <t>Unsere Demokratie vor ausländischen Einflüssen schützen</t>
        </is>
      </c>
      <c r="D53" s="4" t="inlineStr">
        <is>
          <t>open</t>
        </is>
      </c>
      <c r="E53" s="2" t="inlineStr">
        <is>
          <t>[Official DE version; original is IT] TEXT: Der Bundesrat wird beauftragt, das Bundesgesetz über die politischen Rechte (BPR) dahingehend zu ändern, dass die vorsätzliche Annahme monetärer und nichtmonetärer Zuwendungen aus dem Ausland durch politische Akteurinnen und Akteure abschreckende strafrechtliche Sanktionen nach sich zieht (namentlich in Form von Bussen).
REASONING: Unsere Volksrechte (Initiative, Referendum, Petition) und auch unsere Wahlen sind eine Stärke unseres politischen Systems. Die halbdirekte Demokratie macht unser Land zu einem Ort der Debatte, an dem das Volk weitgehend mitbestimmen kann. Darauf können wir stolz sein. Die Schweiz ist ein souveräner und unabhängiger Staat. Die Meinungsbildung der Wählerschaft darf nicht von Finanzierungen ausländischer Akteure beeinflusst werden, die andere politische Agenden verfolgen. Das geltende BPR verbietet politischen Akteurinnen und Akteuren (Parteien, natürliche und juristische Personen sowie Personengesellschaften, die im Hinblick auf eine Wahl in die eidgenössischen Räte oder auf eine eidgenössische Abstimmung Kampagnen führen), Geld aus dem Ausland anzunehmen. Wer eine (nicht-)monetäre Zuwendung erhält, muss diese zurückerstatten. Ist eine Rückerstattun…</t>
        </is>
      </c>
      <c r="F53" s="5" t="inlineStr"/>
      <c r="G53" s="5" t="inlineStr"/>
      <c r="H53" s="6">
        <f>IF(F53="nein","nein",IF(OR(F53="",G53=""),"",IF(AND(F53="ja",G53="Ziel"),"ja",IF(G53="Nebensache","nein","unsicher"))))</f>
        <v/>
      </c>
      <c r="I53" s="7" t="inlineStr"/>
      <c r="J53" s="5" t="inlineStr"/>
    </row>
    <row r="54">
      <c r="A54" t="n">
        <v>53</v>
      </c>
      <c r="B54" t="n">
        <v>288093</v>
      </c>
      <c r="C54" s="2" t="inlineStr">
        <is>
          <t>Produktesicherheit. Förderung eines freien Wettbewerbs zwischen schweizerischen und ausländischen Online-Händlern</t>
        </is>
      </c>
      <c r="D54" s="4" t="inlineStr">
        <is>
          <t>open</t>
        </is>
      </c>
      <c r="E54" s="2" t="inlineStr">
        <is>
          <t>[Official DE version; original is IT] TEXT: Die jüngsten Vorfälle rund um den chinesischen Online-Händler Shein in Frankreich werfen auch in der Schweiz berechtigte Fragen auf. Angesichts der Tatsache, dass täglich rund 500 000 Pakete aus China in Zürich eintreffen, ist es fraglich, ob die Qualitätskontrollen, die für schweizerische Produkte durchgeführt werden, in gleichem Umfang auch für chinesische Produkte durchgeführt werden. Einige Produkte, die im chinesischen Online-Handel erhältlich sind, erfordern ein Eingreifen. So sind bei Temu beispielsweise Laserpointer erhältlich, deren Nutzung in der Schweiz aufgrund der damit verbundenen Gefahr für die Augen strikt verboten ist. Zudem zeigt eine aktuelle Studie, dass 86 Prozent der Kinderspielzeuge, die bei grossen ausländischen Online-Händlern (Temu, Shein, Amazon) erhältlich sind, als gesundheitsgefährdend für Kinder eingestuft werden. Wie rechtfertigt der Bundesrat, dass Produkte aus dem chinesischen Online-Handel nicht denselben Qualitätsanforderungen unterliegen wie schweizerische Produkte, insbesondere in Bezug auf die Sicherheit? Mit welchen Mitteln will der Bundesrat ausländische Online-Händler dazu bringen, die gleichen Vorschriften wie ihre schweizerischen Ko…</t>
        </is>
      </c>
      <c r="F54" s="5" t="inlineStr"/>
      <c r="G54" s="5" t="inlineStr"/>
      <c r="H54" s="6">
        <f>IF(F54="nein","nein",IF(OR(F54="",G54=""),"",IF(AND(F54="ja",G54="Ziel"),"ja",IF(G54="Nebensache","nein","unsicher"))))</f>
        <v/>
      </c>
      <c r="I54" s="7" t="inlineStr"/>
      <c r="J54" s="5" t="inlineStr"/>
    </row>
    <row r="55">
      <c r="A55" t="n">
        <v>54</v>
      </c>
      <c r="B55" t="n">
        <v>69534</v>
      </c>
      <c r="C55" s="2" t="inlineStr">
        <is>
          <t>Eine schweizerische Halbleiterstrategie (Swiss Chip Strategy)</t>
        </is>
      </c>
      <c r="D55" s="4" t="inlineStr">
        <is>
          <t>open</t>
        </is>
      </c>
      <c r="E55" s="2" t="inlineStr">
        <is>
          <t>[Official DE version; original is IT] TEXT: Die Halbleiterindustrie ist von strategischer Bedeutung und wird in einer sich schnell digitalisierenden Gesellschaft in den globalen und nationalen Produktionsketten immer wichtiger. Die Schweiz verfügt über weltweit tätige Schlüsselunternehmen, die Technologie für die Herstellung von Halbleitern liefern. Die Gefahr eines unfairen Wettbewerbs ist hoch, insbesondere weil die EU und die USA Subventionsprogramme in zweistelliger Milliardenhöhe vorsehen, die Auflagen für die lokale Produktion enthalten. Dies gefährdet den Innovations- und Produktionsstandort Schweiz und seine Industrie. Ich ersuche den Bundesrat, die Situation zu analysieren, insbesondere die Risiken und Chancen der jüngsten Entwicklungen. Zudem soll er das Risiko analysieren, das mit dem «Decoupling» der Produktionsketten verbunden ist. Es soll dem Parlament einen Bericht vorgelegt werden, der Vorschläge enthält, insbesondere zur Verbesserung der Rahmenbedingungen für die betroffenen Unternehmen und zur Förderung der Innovation (Swiss Chip Strategy).
REASONING: In unserer digitalisierten Gesellschaft sind Siliziumkomponenten allgegenwärtig: Computer, Telefone, Sensoren, Autos, Maschinen, Energie, Raumfahrt, Rü…</t>
        </is>
      </c>
      <c r="F55" s="5" t="inlineStr"/>
      <c r="G55" s="5" t="inlineStr"/>
      <c r="H55" s="6">
        <f>IF(F55="nein","nein",IF(OR(F55="",G55=""),"",IF(AND(F55="ja",G55="Ziel"),"ja",IF(G55="Nebensache","nein","unsicher"))))</f>
        <v/>
      </c>
      <c r="I55" s="7" t="inlineStr"/>
      <c r="J55" s="5" t="inlineStr"/>
    </row>
    <row r="56">
      <c r="A56" t="n">
        <v>55</v>
      </c>
      <c r="B56" t="n">
        <v>65463</v>
      </c>
      <c r="C56" s="2" t="inlineStr">
        <is>
          <t>Im Interesse der Rechtsstaatlichkeit, der Souveränität und der Neutralität der Schweiz die Crypto-Leaks-Affäre mit einer PUK umfassend aufklären</t>
        </is>
      </c>
      <c r="D56" s="4" t="inlineStr">
        <is>
          <t>open</t>
        </is>
      </c>
      <c r="E56" s="2" t="inlineStr">
        <is>
          <t>TEXT: Das Parlament setzt eine Parlamentarische Untersuchungskommission PUK ein zur Aufarbeitung der Spionage-Affäre um die Firma Crypto AG.
REASONING: Im Interesse der Rechtsstaatlichkeit, der Souveränität und der Neutralität der Schweiz muss die Cryptoleaks-Affäre umfassend aufgeklärt werden. Eine PUK hat dazu die notwendigen Ressourcen und kann insbesondere auch Untersuchungsbeauftragte i.S. von Artikel 166 ParIG einsetzen.</t>
        </is>
      </c>
      <c r="F56" s="5" t="inlineStr"/>
      <c r="G56" s="5" t="inlineStr"/>
      <c r="H56" s="6">
        <f>IF(F56="nein","nein",IF(OR(F56="",G56=""),"",IF(AND(F56="ja",G56="Ziel"),"ja",IF(G56="Nebensache","nein","unsicher"))))</f>
        <v/>
      </c>
      <c r="I56" s="7" t="inlineStr"/>
      <c r="J56" s="5" t="inlineStr"/>
    </row>
    <row r="57">
      <c r="A57" t="n">
        <v>56</v>
      </c>
      <c r="B57" t="n">
        <v>215066</v>
      </c>
      <c r="C57" s="2" t="inlineStr">
        <is>
          <t>Mehr Anerkennung für berufsbedingte Krebserkrankungen</t>
        </is>
      </c>
      <c r="D57" s="4" t="inlineStr">
        <is>
          <t>open</t>
        </is>
      </c>
      <c r="E57" s="2" t="inlineStr">
        <is>
          <t>[Official DE version; original is FR] TEXT: Ich bitte den Bundesrat um Antwort auf folgende Fragen: - Wie hoch sind die Kosten, die der Wirtschaft in der Schweiz durch berufsbedingte Krebserkrankungen entstehen? - Welche Massnahmen plant der Bundesrat zur Bekämpfung der mangelhaften Anerkennung berufsbedingter Krebserkrankungen? - Welche Massnahmen plant der Bundesrat, um die Kriterien für die Anerkennung berufsbedingter Krebserkrankungen zu klären? - Welche Massnahmen sieht der Bundesrat vor, um die Pflegekräfte zu motivieren, sich besser an der Meldung berufsbedingter Krebserkrankungen zu beteiligen? - Welche Mittel will die Suva einsetzen, um bei Schweizer Patientinnen und Patienten, die berufsbedingt an Krebs erkrankt sind, nach einer beruflichen Komponente zu suchen?
REASONING: In der Schweiz werden offenbar zwischen 350 und 1850 Fälle berufsbedingter Krebserkrankungen von der Unfallversicherung nicht als Berufskrankheit anerkannt (Krief et al. 2022). Den Autorinnen und Autoren der Studie zufolge liegt das Problem nicht so sehr in der Anerkennung von Krebs als Berufskrankheit durch den Unfallversicherer, sondern vielmehr in der Identifizierung potenzieller Fälle durch das Pflegepersonal und der Auslösung des Meld…</t>
        </is>
      </c>
      <c r="F57" s="5" t="inlineStr"/>
      <c r="G57" s="5" t="inlineStr"/>
      <c r="H57" s="6">
        <f>IF(F57="nein","nein",IF(OR(F57="",G57=""),"",IF(AND(F57="ja",G57="Ziel"),"ja",IF(G57="Nebensache","nein","unsicher"))))</f>
        <v/>
      </c>
      <c r="I57" s="7" t="inlineStr"/>
      <c r="J57" s="5" t="inlineStr"/>
    </row>
    <row r="58">
      <c r="A58" t="n">
        <v>57</v>
      </c>
      <c r="B58" t="n">
        <v>70197</v>
      </c>
      <c r="C58" s="2" t="inlineStr">
        <is>
          <t>Wie kann der Medikamentenknappheit begegnet werden?</t>
        </is>
      </c>
      <c r="D58" s="4" t="inlineStr">
        <is>
          <t>open</t>
        </is>
      </c>
      <c r="E58" s="2" t="inlineStr">
        <is>
          <t>[Official DE version; original is FR] TEXT: Seit mehreren Monaten sind einige gebräuchliche Medikamente in unseren Apotheken nicht mehr erhältlich (Medikamente gegen Magenbeschwerden, Tabletten gegen Erkältungen, Nasensprays, Hustensirup usw.). Für einige dieser Medikamente gibt es Alternativen, die jedoch nicht immer von der Krankenversicherung bezahlt werden. Welche Massnahmen arbeitet der Bundesrat momentan aus, um der Knappheit zu begegnen? Beabsichtigt er namentlich auch, die Spezialitätenliste zu erweitern?</t>
        </is>
      </c>
      <c r="F58" s="5" t="inlineStr"/>
      <c r="G58" s="5" t="inlineStr"/>
      <c r="H58" s="6">
        <f>IF(F58="nein","nein",IF(OR(F58="",G58=""),"",IF(AND(F58="ja",G58="Ziel"),"ja",IF(G58="Nebensache","nein","unsicher"))))</f>
        <v/>
      </c>
      <c r="I58" s="7" t="inlineStr"/>
      <c r="J58" s="5" t="inlineStr"/>
    </row>
    <row r="59">
      <c r="A59" t="n">
        <v>58</v>
      </c>
      <c r="B59" t="n">
        <v>157177</v>
      </c>
      <c r="C59" s="2" t="inlineStr">
        <is>
          <t>Berufe der Zukunft. Öffentliche Unterstützung für die berufliche Umschulung</t>
        </is>
      </c>
      <c r="D59" s="4" t="inlineStr">
        <is>
          <t>open</t>
        </is>
      </c>
      <c r="E59" s="2" t="inlineStr">
        <is>
          <t>[Official DE version; original is IT] TEXT: Der Bundesrat wird beauftragt, in einem Bericht aufzuzeigen, wie mithilfe eines verstärkten Engagements der öffentlichen Hand zugunsten der Weiterbildung und der Berufsbildung neue berufliche Perspektiven in Brachen, die einen Strukturwandel durchlaufen, geschaffen werden können.
REASONING: Der ökologische Wandel bringt Arbeitsplätze in bestimmten Industrie- und Dienstleistungssektoren zum Verschwinden, ermöglicht aber gleichzeitig auch den Aufschwung neuer Berufe in Zusammenhang mit einer nachhaltigeren Wirtschaft. Dies geht aus dem Bericht der Internationalen Arbeitsorganisation (IAO) aus dem Jahr 2018 hervor. Diese Studie zeigt einen Faktor auf, der sehr wichtig ist, damit der ökologische Wandel zur Schaffung von Arbeitsplätzen führt: eine wirksame und gezielte berufliche Umschulung. Dazu sind ein langfristiger Plan und eindeutige Zahlen notwendig, um so die aktuellen und künftigen Bedürfnisse der Wirtschaft zu bestimmen und die Mittel für die (Um-)Schulung von Tausenden von Arbeitnehmerinnen und Arbeitnehmern zu planen. In der Schweiz besteht kein solcher Plan. Gleichzeitig vertieft die Digitalisierung den Graben zwischen der alten Produktionswirtschaft und der neuen dig…</t>
        </is>
      </c>
      <c r="F59" s="5" t="inlineStr"/>
      <c r="G59" s="5" t="inlineStr"/>
      <c r="H59" s="6">
        <f>IF(F59="nein","nein",IF(OR(F59="",G59=""),"",IF(AND(F59="ja",G59="Ziel"),"ja",IF(G59="Nebensache","nein","unsicher"))))</f>
        <v/>
      </c>
      <c r="I59" s="7" t="inlineStr"/>
      <c r="J59" s="5" t="inlineStr"/>
    </row>
    <row r="60">
      <c r="A60" t="n">
        <v>59</v>
      </c>
      <c r="B60" t="n">
        <v>251354</v>
      </c>
      <c r="C60" s="2" t="inlineStr">
        <is>
          <t>Missbräuchliche Baueinsprachen sanktionieren</t>
        </is>
      </c>
      <c r="D60" s="4" t="inlineStr">
        <is>
          <t>open</t>
        </is>
      </c>
      <c r="E60" s="2" t="inlineStr">
        <is>
          <t>[Official DE version; original is IT] TEXT: Der Bundesrat wird beauftragt, eine gesetzliche Grundlage zu schaffen, um missbräuchliche Einsprachen zu sanktionieren. Einsprecherinnen und Einsprecher, die ohne schutzwürdiges Interesse oder in erkennbar rechtsmissbräuchlicher Absicht handeln, sollen künftig zu einer Kostenübernahme und gegebenenfalls zu Schadenersatzleistungen verpflichtet werden können. Der Bundesrat soll darlegen, wie entsprechende Regelungen im Raumplanungsgesetz (RPG) oder in anderen einschlägigen Bundesgesetzen verankert werden können, ohne die legitimen Mitwirkungsrechte der Bevölkerung zu beeinträchtigen.
REASONING: Die heutige Rechtslage ermöglicht es, Bau- und Entwicklungsprojekte bereits durch geringfügige oder vorgeschobene Einsprachen über Jahre hinweg zu verzögern oder gänzlich zu verhindern. Eine kürzlich veröffentlichte Studie des Bundesamts für Wohnungswesen (BWO) und des Bundesamts für Raumentwicklung (ARE) zeigt deutlich, dass Einsprachen der häufigste Grund für Verzögerungen und Projektabbrüchen im Wohnungsbau sind. Die Folgen sind höhere Baukosten, eine abnehmende Bautätigkeit und eine Verschärfung der Wohnungsknappheit. Besonders problematisch ist, dass Einsprachen nicht selten wenige…</t>
        </is>
      </c>
      <c r="F60" s="5" t="inlineStr"/>
      <c r="G60" s="5" t="inlineStr"/>
      <c r="H60" s="6">
        <f>IF(F60="nein","nein",IF(OR(F60="",G60=""),"",IF(AND(F60="ja",G60="Ziel"),"ja",IF(G60="Nebensache","nein","unsicher"))))</f>
        <v/>
      </c>
      <c r="I60" s="7" t="inlineStr"/>
      <c r="J60" s="5" t="inlineStr"/>
    </row>
    <row r="61">
      <c r="A61" t="n">
        <v>60</v>
      </c>
      <c r="B61" t="n">
        <v>339430</v>
      </c>
      <c r="C61" s="2" t="inlineStr">
        <is>
          <t>Technologies quantiques : pour une stratégie nationale d’anticipation</t>
        </is>
      </c>
      <c r="D61" s="4" t="inlineStr">
        <is>
          <t>open</t>
        </is>
      </c>
      <c r="E61" s="2" t="inlineStr">
        <is>
          <t>[Original FR; no official DE version] OTHER (Texte déposé): Le Conseil fédéral est chargé de présenter un rapport analysant : a) les principaux impacts prévisibles de la révolution quantique sur les grands domaines de l'action publique, ainsi que les principales mesures à envisager ; b) le positionnement stratégique de la Suisse pour saisir les opportunités et limiter les risques ; c) les conditions-cadres nécessaires pour développer, attirer et retenir en Suisse les entreprises et les talents à la pointe de ces technologies. Il formulera des propositions pour atteindre ces objectifs et posera les bases d'une stratégie nationale quantique.
OTHER (Développement): La révolution quantique n'est plus une hypothèse de long terme. En 2026, les ordinateurs quantiques sortent des laboratoires et commencent à surpasser les systèmes classiques dans des domaines stratégiques. Leur convergence avec l'intelligence artificielle ouvre une ère de puissance de calcul sans précédent, avec des implications majeures, notamment pour la sécurité, la santé, la finance, la formation et la souveraineté numérique. La Suisse a eu la sagesse d'anticiper ces ruptures. La Swiss Quantum Initiative, dotée de 82,1 millions de francs pour la période F…</t>
        </is>
      </c>
      <c r="F61" s="5" t="inlineStr"/>
      <c r="G61" s="5" t="inlineStr"/>
      <c r="H61" s="6">
        <f>IF(F61="nein","nein",IF(OR(F61="",G61=""),"",IF(AND(F61="ja",G61="Ziel"),"ja",IF(G61="Nebensache","nein","unsicher"))))</f>
        <v/>
      </c>
      <c r="I61" s="7" t="inlineStr"/>
      <c r="J61" s="5" t="inlineStr"/>
    </row>
    <row r="62">
      <c r="A62" t="n">
        <v>61</v>
      </c>
      <c r="B62" t="n">
        <v>158650</v>
      </c>
      <c r="C62" s="2" t="inlineStr">
        <is>
          <t>Schutz vor sexueller Belästigung bei öffentlichen Aufträgen</t>
        </is>
      </c>
      <c r="D62" s="4" t="inlineStr">
        <is>
          <t>open</t>
        </is>
      </c>
      <c r="E62" s="2" t="inlineStr">
        <is>
          <t>[Official DE version; original is IT] TEXT: Der Bundesrat wird beauftragt, Artikel 4 Absatz 1 der Verordnung über das öffentliche Beschaffungswesen wie folgt anzupassen: Art. 4 Teilnahmebedingungen und Eignungskriterien 1 Die Auftraggeberin kann die Durchführung der Kontrollen in Bezug auf die Lohngleichheit sowie einen wirksamen Schutz vor Mobbing und sexueller Belästigung insbesondere dem Eidgenössischen Büro für die Gleichstellung von Frau und Mann (EBG) übertragen. Das EBG bestimmt die Einzelheiten seiner Kontrollen in einer Richtlinie. Die Auftraggeberin kann die Selbstdeklarationen der Anbieterinnen über die Einhaltung der Lohngleichheit dem EBG weiterleiten. Eine Minderheit der Kommission (Friedli Esther, Aeschi Thomas, Amaudruz, Burgherr, Dettling, Feller, Gössi, Regazzi, Ritter, Schneeberger, Steinemann, Tuena) beantragt, die Motion abzulehnen.
REASONING: Heute ist im öffentlichen Beschaffungswesen geregelt, dass Aufträge nur an Unternehmen vergeben werden, die die "massgeblichen Arbeitsschutzbestimmungen und Arbeitsbedingungen" einhalten. Das beinhaltet auch die Erfüllung des Arbeitsgesetzes, insbesondere dem darin geregelten Schutz der persönlichen Integrität der Arbeitnehmenden. Damit sind auch Fälle von M…</t>
        </is>
      </c>
      <c r="F62" s="5" t="inlineStr"/>
      <c r="G62" s="5" t="inlineStr"/>
      <c r="H62" s="6">
        <f>IF(F62="nein","nein",IF(OR(F62="",G62=""),"",IF(AND(F62="ja",G62="Ziel"),"ja",IF(G62="Nebensache","nein","unsicher"))))</f>
        <v/>
      </c>
      <c r="I62" s="7" t="inlineStr"/>
      <c r="J62" s="5" t="inlineStr"/>
    </row>
    <row r="63">
      <c r="A63" t="n">
        <v>62</v>
      </c>
      <c r="B63" t="n">
        <v>337367</v>
      </c>
      <c r="C63" s="2" t="inlineStr">
        <is>
          <t>Breitbandfördergesetz (BBFG)</t>
        </is>
      </c>
      <c r="D63" s="4" t="inlineStr">
        <is>
          <t>open</t>
        </is>
      </c>
      <c r="E63" s="2" t="inlineStr">
        <is>
          <t xml:space="preserve">[Official DE version; original is IT] </t>
        </is>
      </c>
      <c r="F63" s="5" t="inlineStr"/>
      <c r="G63" s="5" t="inlineStr"/>
      <c r="H63" s="6">
        <f>IF(F63="nein","nein",IF(OR(F63="",G63=""),"",IF(AND(F63="ja",G63="Ziel"),"ja",IF(G63="Nebensache","nein","unsicher"))))</f>
        <v/>
      </c>
      <c r="I63" s="7" t="inlineStr"/>
      <c r="J63" s="5" t="inlineStr"/>
    </row>
    <row r="64">
      <c r="A64" t="n">
        <v>63</v>
      </c>
      <c r="B64" t="n">
        <v>63751</v>
      </c>
      <c r="C64" s="2" t="inlineStr">
        <is>
          <t>Der Bundesrat soll den falsch eingeschlagenen Weg zur Flugsicherheit korrigieren</t>
        </is>
      </c>
      <c r="D64" s="4" t="inlineStr">
        <is>
          <t>open</t>
        </is>
      </c>
      <c r="E64" s="2" t="inlineStr">
        <is>
          <t>TEXT: Der Bundesrat wird beauftragt, dafür zu sorgen, dass die am 1. Januar 2019 in Kraft getretene Änderung des Luftfahrtgesetzes (LFG) - insbesondere Artikel 10a - so umgesetzt wird, dass sie dem Willen des Gesetzgebers entspricht und für alle Stakeholder eine praxistaugliche Lösung ermöglicht.
REASONING: Gemäss Schreiben vom Bazl vom 4. März 2019 sei es der Wille des Gesetzgebers, dass die Radiotelefonie mit dem Flugsicherungsdienst im Luftraum über der Schweiz auf Englisch stattfindet. Bei der Beratung der Teilrevision 1 plus des LFG (16.062) in den Räten war die Standardsprache für den Funkverkehr (Art. 10a) umstritten gewesen. Schliesslich einigten sich die Räte darauf, dass der Funkverkehr grundsätzlich in Englisch zu erfolgen hat, der Bundesrat aber Ausnahmen definieren soll. Im Hinblick auf die Umsetzung mit Definition der Ausnahmen ging der Gesetzgeber davon aus, dass diese vom internationalen Rahmen fraglich abweichende Regelung nur die Landesflughäfen und den kommerziellen internationalen Linienluftverkehr betreffen soll. Bei den unteren Lufträumen, für die allgemeine Luftfahrt, die Militärflugplätze und die Regionalflugplätze soll mittels Ausnahmeregelung wie bis anhi…</t>
        </is>
      </c>
      <c r="F64" s="5" t="inlineStr"/>
      <c r="G64" s="5" t="inlineStr"/>
      <c r="H64" s="6">
        <f>IF(F64="nein","nein",IF(OR(F64="",G64=""),"",IF(AND(F64="ja",G64="Ziel"),"ja",IF(G64="Nebensache","nein","unsicher"))))</f>
        <v/>
      </c>
      <c r="I64" s="7" t="inlineStr"/>
      <c r="J64" s="5" t="inlineStr"/>
    </row>
    <row r="65">
      <c r="A65" t="n">
        <v>64</v>
      </c>
      <c r="B65" t="n">
        <v>214539</v>
      </c>
      <c r="C65" s="2" t="inlineStr">
        <is>
          <t>Forschung und klinische Versuche mit nichtkommerziellen Medizinprodukten fördern und nicht behindern. Anpassung von Gebühren und Auflagen ist dringend</t>
        </is>
      </c>
      <c r="D65" s="4" t="inlineStr">
        <is>
          <t>open</t>
        </is>
      </c>
      <c r="E65" s="2" t="inlineStr">
        <is>
          <t>[Official DE version; original is IT] TEXT: Der Bundesrat wird beauftragt, das Ausführungsrecht zum Heilmittelgesetz, insbesondere zu den Artikeln 4 bis 9, anzupassen, damit die nicht-kommerzielle klinische Forschung gefördert wird. Die aufwändigen Auflagen und die Tarife für die nicht-kommerziellen Versuche sind anzupassen, damit sie nicht weiter dazu führen, dass wichtige Forschungsvorhaben gar nicht erst gestartet werden können.
REASONING: Die nicht-kommerzielle klinische Forschung ist wichtig für die Innovation. Seit der Einführung der neuen Gebührenverordnung wird sie stark behindert resp. fast verunmöglicht. Gerade im universitären Umfeld sind Forschungsprojekte junger Forschender kaum mehr möglich, weil sie schlicht nicht finanzierbar sind. Das geltende Recht und die Gebührenverordnung unterscheiden nicht zwischen kommerzieller und nicht-kommerzieller Forschung und schränken die Forschung wesentlich ein. Das ist nicht im Sinne der Grundlagenforschung, der Institutionen und der Patientinnen und Patienten, denn dadurch werden insbesondere junge Forschende eingeschränkt. Die Gleichbehandlung nicht-kommerzieller Forschung mit der Forschung privater kommerzieller Unternehmen ist nicht in unserem Interesse. Bereits d…</t>
        </is>
      </c>
      <c r="F65" s="5" t="inlineStr"/>
      <c r="G65" s="5" t="inlineStr"/>
      <c r="H65" s="6">
        <f>IF(F65="nein","nein",IF(OR(F65="",G65=""),"",IF(AND(F65="ja",G65="Ziel"),"ja",IF(G65="Nebensache","nein","unsicher"))))</f>
        <v/>
      </c>
      <c r="I65" s="7" t="inlineStr"/>
      <c r="J65" s="5" t="inlineStr"/>
    </row>
    <row r="66">
      <c r="A66" t="n">
        <v>65</v>
      </c>
      <c r="B66" t="n">
        <v>159211</v>
      </c>
      <c r="C66" s="2" t="inlineStr">
        <is>
          <t>Die Schweizerische Radio- und Fernsehgesellschaft der Eidgenössischen Finanzkontrolle unterstellen</t>
        </is>
      </c>
      <c r="D66" s="4" t="inlineStr">
        <is>
          <t>open</t>
        </is>
      </c>
      <c r="E66" s="2" t="inlineStr">
        <is>
          <t>[Official DE version; original is FR] TEXT: Das Bundesgesetz über Radio und Fernsehen wird dahingehend geändert, dass die Schweizerische Radio- und Fernsehgesellschaft (SRG) der Finanzaufsicht durch die Eidgenössische Finanzkontrolle (EFK) unterstellt wird.
REASONING: Die SRG hat auf nationaler und sprachregionaler Ebene einen grundlegenden Leistungsauftrag zu erfüllen. Sie wird grösstenteils über die Abgabe für Radio und Fernsehen in der Höhe von über 1 Milliarde Franken finanziert. Angesichts dieser finanziellen Bedeutung, der umfangreichen Tätigkeiten, des grossen öffentlichen Interesses und der aktuellen politischen Diskussionen sollte auch die SRG der Finanzaufsicht durch die EFK unterstellt werden, wie andere Organisationen auch, denen der Bund die Erfüllung einer öffentlichen Aufgabe übertragen hat (vgl. Art. 8 Abs. 1 Bst. d des Finanzkontrollgesetzes, FKG). Die EFK hätte als unabhängige Stelle die Möglichkeit, bei der SRG risikobasierte und mit der Geschäftsführung zusammenhängende Finanzaufsichtsprüfungen durchzuführen, dies in enger Abstimmung mit Kontrolltätigkeiten anderer Behörden und Organe. Die Autonomie von Radio und Fernsehen in der Programmplanung und -gestaltung, wie sie von Artikel 93 Absatz 3 der …</t>
        </is>
      </c>
      <c r="F66" s="5" t="inlineStr"/>
      <c r="G66" s="5" t="inlineStr"/>
      <c r="H66" s="6">
        <f>IF(F66="nein","nein",IF(OR(F66="",G66=""),"",IF(AND(F66="ja",G66="Ziel"),"ja",IF(G66="Nebensache","nein","unsicher"))))</f>
        <v/>
      </c>
      <c r="I66" s="7" t="inlineStr"/>
      <c r="J66" s="5" t="inlineStr"/>
    </row>
    <row r="67">
      <c r="A67" t="n">
        <v>66</v>
      </c>
      <c r="B67" t="n">
        <v>156064</v>
      </c>
      <c r="C67" s="2" t="inlineStr">
        <is>
          <t>Förderung von Homeoffice und unternehmerische Freiheit</t>
        </is>
      </c>
      <c r="D67" s="4" t="inlineStr">
        <is>
          <t>open</t>
        </is>
      </c>
      <c r="E67" s="2" t="inlineStr">
        <is>
          <t>[Official DE version; original is IT] TEXT: Infolge der Corona-Krise werden politisch wieder Stimmen laut, die eine verstärkte Förderung des Homeoffice (Heimarbeit, Telearbeit, etc.) installieren möchten. Ich bitte den Bundesrat diesbezüglich folgende Fragen zu beantworten: 1. Welche direkte und indirekte Förderung gibt es von Seiten des Bundes für Homeoffice? 2. Welches sind die gesetzlichen Grundlagen für diese Förderung? 3. Welches sind generell die arbeitsrechtlichen Grundlagen von Homeoffice? 4. Wie stellt sich der Bundesrat zur Tatsache, dass eine staatliche Förderung von Homeoffice eine sehr starke Einflussnahme auf die Unternehmenskultur darstellt? 5. Welche Auswirkungen hat das Bundesgerichtsurteil, welches verlangt, dass der Arbeitgeber einen Teil der Wohnungsmiete bei Homeoffice übernehmen muss, auf das Thema? 6. Wie steht eine diesbezügliche Förderung zur wirtschaftlichen und unternehmerischen Freiheit? Gibt es einen möglichen Konflikt mit der in der Verfassung verbrieften Wirtschaftsfreiheit? 7. Wie gewichtet der Bundesrat den Umstand, dass bei Homeoffice der persönliche und soziale Austausch und Beziehungen weniger wichtig werden? 8. Gibt es Studien oder Hinweise aus der Praxis, insbesondere aus der Coron…</t>
        </is>
      </c>
      <c r="F67" s="5" t="inlineStr"/>
      <c r="G67" s="5" t="inlineStr"/>
      <c r="H67" s="6">
        <f>IF(F67="nein","nein",IF(OR(F67="",G67=""),"",IF(AND(F67="ja",G67="Ziel"),"ja",IF(G67="Nebensache","nein","unsicher"))))</f>
        <v/>
      </c>
      <c r="I67" s="7" t="inlineStr"/>
      <c r="J67" s="5" t="inlineStr"/>
    </row>
    <row r="68">
      <c r="A68" t="n">
        <v>67</v>
      </c>
      <c r="B68" t="n">
        <v>235974</v>
      </c>
      <c r="C68" s="2" t="inlineStr">
        <is>
          <t>Die AHV-Perspektiven waren falsch. Stimmen auch die IV-Zahlen nicht?</t>
        </is>
      </c>
      <c r="D68" s="4" t="inlineStr">
        <is>
          <t>open</t>
        </is>
      </c>
      <c r="E68" s="2" t="inlineStr">
        <is>
          <t>[Official DE version; original is IT] TEXT: Ich ersuche den Bundesrat um die Beantwortung folgender Fragen: Die Fehler bei den AHV-Prognosen sind bekannt. Sind auch bei den IV-Zahlen die gleichen Fehler gemacht worden? Die IV-Schulden belasten die AHV. Es wurde von der Bundesverwaltung immer wieder mitgeteilt, ab wann die IV die Schulden in der Bilanz der AHV abbauen kann. Welche Daten wurden seit dem Jahr 2012 kommuniziert? Welche Begründungen wurden seit 2012 für den ständig nach hinten verschobenen 'Turnaround' genannt? Wann werden dem Parlament neue Datengrundlagen vorgelegt, welche auch die von Compenswiss erwähnten Faktoren Neurentenzuwachs und geringere Abgangsquoten beinhalten? Wie sichert der Bundesrat eine erhöhte Verlässlichkeit der IV-Prognosen, damit für eine kommende IV-Revision gesicherte Grundlagen bestehen?
REASONING: Am 18. Februar 2025 hat der Verwaltungsrat von Compenswiss informiert: "Auch für den IV-Fonds haben sich die finanziellen Perspektiven aufgrund des Anstiegs der Neurenten sowie geringerer Abgangsquoten verschlechtert." Zudem warnt Compenswiss: "Aufgrund ihrer finanziellen Lage ist es eher unwahrscheinlich, dass die IV in absehbarer Zeit in der Lage sein wird, diese Schuld aus eigener Kra…</t>
        </is>
      </c>
      <c r="F68" s="5" t="inlineStr"/>
      <c r="G68" s="5" t="inlineStr"/>
      <c r="H68" s="6">
        <f>IF(F68="nein","nein",IF(OR(F68="",G68=""),"",IF(AND(F68="ja",G68="Ziel"),"ja",IF(G68="Nebensache","nein","unsicher"))))</f>
        <v/>
      </c>
      <c r="I68" s="7" t="inlineStr"/>
      <c r="J68" s="5" t="inlineStr"/>
    </row>
    <row r="69">
      <c r="A69" t="n">
        <v>68</v>
      </c>
      <c r="B69" t="n">
        <v>214819</v>
      </c>
      <c r="C69" s="2" t="inlineStr">
        <is>
          <t>Bundesgericht. Wahl von zwei ordentlichen Richtern/Richterinnen</t>
        </is>
      </c>
      <c r="D69" s="4" t="inlineStr">
        <is>
          <t>open</t>
        </is>
      </c>
      <c r="E69" s="2" t="inlineStr"/>
      <c r="F69" s="5" t="inlineStr"/>
      <c r="G69" s="5" t="inlineStr"/>
      <c r="H69" s="6">
        <f>IF(F69="nein","nein",IF(OR(F69="",G69=""),"",IF(AND(F69="ja",G69="Ziel"),"ja",IF(G69="Nebensache","nein","unsicher"))))</f>
        <v/>
      </c>
      <c r="I69" s="7" t="inlineStr"/>
      <c r="J69" s="5" t="inlineStr"/>
    </row>
    <row r="70">
      <c r="A70" t="n">
        <v>69</v>
      </c>
      <c r="B70" t="n">
        <v>161893</v>
      </c>
      <c r="C70" s="2" t="inlineStr">
        <is>
          <t>Familienausflüge mit dem Bundesratsjet</t>
        </is>
      </c>
      <c r="D70" s="4" t="inlineStr">
        <is>
          <t>open</t>
        </is>
      </c>
      <c r="E70" s="2" t="inlineStr">
        <is>
          <t>[Official DE version; original is FR] TEXT: Anfang Mai reisten NR Nussbaumer und SR Herzog mit dem Lufttransportdienst des Bundes (LTDB) nach Rom. Medienberichten zufolge reisten auch die Söhne von Frau Herzog im Bundesratsjet mit. - Welche Aufgabe hatten sie in der offiziellen Delegation zur Vereidigung der Schweizergarde? - Wenn die Söhne nicht zur offiziellen Delegation gehörten: Seit wann kann der LTDB für «Familienausflüge» genutzt werden?
ANSWER: Gemäss Punkt 2.10. der Weisung der Verwaltungsdelegation vom 13. Mai 2022 betreffend internationale Aktivitäten von ständigen und nicht ständigen parlamentarischen Delegationen kann die Bundesversammlung einmal pro Jahr bei einer offiziellen Auslandreise einer Ratspräsidentin oder eines Ratspräsidenten die Reisekosten einer privaten Begleitperson übernehmen. Früher wurden Ratspräsidentinnen und Ratspräsidenten bei den einmal jährlich stattfindenden offiziellen «Präsidialreisen» ohne Parlamentsdelegation von einer privaten Begleitperson ins Ausland begleitet, meistens zu einer fernen Destination. Die Präsidialreisen wurden in diesem Format abgeschafft. Seit einigen Jahren hat es sich etabliert, dass Privatpersonen Ratspräsidentinnen und Ratspräsidenten begleiten, die an …</t>
        </is>
      </c>
      <c r="F70" s="5" t="inlineStr"/>
      <c r="G70" s="5" t="inlineStr"/>
      <c r="H70" s="6">
        <f>IF(F70="nein","nein",IF(OR(F70="",G70=""),"",IF(AND(F70="ja",G70="Ziel"),"ja",IF(G70="Nebensache","nein","unsicher"))))</f>
        <v/>
      </c>
      <c r="I70" s="7" t="inlineStr"/>
      <c r="J70" s="5" t="inlineStr"/>
    </row>
    <row r="71">
      <c r="A71" t="n">
        <v>70</v>
      </c>
      <c r="B71" t="n">
        <v>64434</v>
      </c>
      <c r="C71" s="2" t="inlineStr">
        <is>
          <t>Gewährleistung der Ergänzungsleistungen ehemaliger Verdingkinder und Administrativversorgter</t>
        </is>
      </c>
      <c r="D71" s="4" t="inlineStr">
        <is>
          <t>open</t>
        </is>
      </c>
      <c r="E71" s="2" t="inlineStr">
        <is>
          <t>[Official DE version; original is IT] TEXT: Die Kommission für soziale Sicherheit und Gesundheit des Ständerates beschliesst, eine Vorlage auszuarbeiten, um sicherzustellen, dass die Genugtuung für ehemalige Verdingkinder und Administrativversorgte den Anspruch auf Ergänzungsleistungen nicht beeinträchtigt. Dafür ist die Streichung des letzten Satzteils von Artikel 4 Absatz 6 Buchstabe c des Bundesgesetzes über die Aufarbeitung der fürsorgerischen Zwangsmassnahmen und Fremdplatzierungen vor 1981 (AFZFG) erforderlich.</t>
        </is>
      </c>
      <c r="F71" s="5" t="inlineStr"/>
      <c r="G71" s="5" t="inlineStr"/>
      <c r="H71" s="6">
        <f>IF(F71="nein","nein",IF(OR(F71="",G71=""),"",IF(AND(F71="ja",G71="Ziel"),"ja",IF(G71="Nebensache","nein","unsicher"))))</f>
        <v/>
      </c>
      <c r="I71" s="7" t="inlineStr"/>
      <c r="J71" s="5" t="inlineStr"/>
    </row>
    <row r="72">
      <c r="A72" t="n">
        <v>71</v>
      </c>
      <c r="B72" t="n">
        <v>155827</v>
      </c>
      <c r="C72" s="2" t="inlineStr">
        <is>
          <t>Umfassende Lösung zur Bewältigung der Corona-Krise. Stabilisierung des Bundeshaushaltes und der Sozialwerke</t>
        </is>
      </c>
      <c r="D72" s="4" t="inlineStr">
        <is>
          <t>open</t>
        </is>
      </c>
      <c r="E72" s="2" t="inlineStr">
        <is>
          <t>[Official DE version; original is IT] TEXT: Der Bundesrat wird beauftragt, dem Parlament eine umfassende Lösung zu präsentieren, wie die ausserordentlichen Leistungen des Bundes während der Coronakrise und die kommenden Steuerausfälle durch die Coronakrise in den Rechnungen des Bundes behandelt werden sollen. Insbesondere muss der Bundesrat aufzuzeigen, wie das geschätzte 40 Milliarden Franken-Loch im Ausgleichfonds in den kommenden 6-8 Jahren abgebaut, wie die Steuerausfälle von geschätzt 5 Milliarden Franken pro Jahr aufgefangen und welche Massnahmen für die Sicherung der Sozialwerke 1. und 2. Säule gesichert werden sollen. Auflage: Die erfolgreiche Schuldenbremse darf nicht ausgeschalten werden.
REASONING: Der Bundesrat hat sich zu den wirtschaftlichen Folgen aufgrund der Coronakrise sehr besorgt geäussert. So soll die Bundeskasse durch ausserordentliche Leistungen mit rund 40 Milliarden Franken belastet werden, welche in einen Ausgleichsfond transferiert werden. Dieser Ausgleichfond ist gemäss gesetzlichen Grundlagen in 6- 8 Jahren wieder auszugleichen. Zudem erwartet der Bundesrat aufgrund der bevorstehenden Rezession Steuerausfälle von rund 5 Milliarden Franken pro Jahr. Der Ausgleichsbeitrag sowie die Steueraus…</t>
        </is>
      </c>
      <c r="F72" s="5" t="inlineStr"/>
      <c r="G72" s="5" t="inlineStr"/>
      <c r="H72" s="6">
        <f>IF(F72="nein","nein",IF(OR(F72="",G72=""),"",IF(AND(F72="ja",G72="Ziel"),"ja",IF(G72="Nebensache","nein","unsicher"))))</f>
        <v/>
      </c>
      <c r="I72" s="7" t="inlineStr"/>
      <c r="J72" s="5" t="inlineStr"/>
    </row>
    <row r="73">
      <c r="A73" t="n">
        <v>72</v>
      </c>
      <c r="B73" t="n">
        <v>339511</v>
      </c>
      <c r="C73" s="2" t="inlineStr">
        <is>
          <t>TARDOC : Où est passée l’amélioration annoncée pour nos médecins de famille ?</t>
        </is>
      </c>
      <c r="D73" s="4" t="inlineStr">
        <is>
          <t>open</t>
        </is>
      </c>
      <c r="E73" s="2" t="inlineStr">
        <is>
          <t>[Original FR; no official DE version] OTHER (Texte déposé): Le Conseil fédéral est prié de répondre aux questions suivantes : - Le Conseil fédéral dispose-t-il d'éléments concrets démontrant que la mise en œuvre de TARDOC améliore la situation des médecins de premier recours ? - Dans le cas contraire, quelles sont les raisons pour lesquelles les promesses de revalorisation ne se concrétisent pas ? - Quelles mesures concrètes le Conseil fédéral compte-t-il prendre pour mettre en œuvre ma motion 22.4357, validée par les Chambres fédérales et visant à revaloriser la médecine de premier recours, en respectant la neutralité des coûts ? - Quand soumettra-t-il au Parlement des propositions concrètes en la matière ?
OTHER (Développement): Depuis des années, le Conseil fédéral et le Parlement entendent revaloriser la médecine de premier recours, notamment en rééquilibrant les tarifs par rapport à ceux de la médecine à forte composante médico-technique. Les acteurs du TARDOC avaient annoncé que le nouveau tarif contribuerait à cet objectif, ce que prévoyait aussi le Conseil fédéral. Or, les promesses des acteurs du TARDOC semblent aujourd'hui s’évanouir : les données provisoires ne laissent pas entrevoir de réelle amélioration …</t>
        </is>
      </c>
      <c r="F73" s="5" t="inlineStr"/>
      <c r="G73" s="5" t="inlineStr"/>
      <c r="H73" s="6">
        <f>IF(F73="nein","nein",IF(OR(F73="",G73=""),"",IF(AND(F73="ja",G73="Ziel"),"ja",IF(G73="Nebensache","nein","unsicher"))))</f>
        <v/>
      </c>
      <c r="I73" s="7" t="inlineStr"/>
      <c r="J73" s="5" t="inlineStr"/>
    </row>
    <row r="74">
      <c r="A74" t="n">
        <v>73</v>
      </c>
      <c r="B74" t="n">
        <v>70545</v>
      </c>
      <c r="C74" s="2" t="inlineStr">
        <is>
          <t>Deklaration von Werbung bei Influencern in der Schweiz</t>
        </is>
      </c>
      <c r="D74" s="4" t="inlineStr">
        <is>
          <t>open</t>
        </is>
      </c>
      <c r="E74" s="2" t="inlineStr">
        <is>
          <t>TEXT: Der Bundesrat wird beauftragt eine gesetzliche Grundlage zu schaffen, welche die Transparenz und Fairness im Bereich der Influencer-Werbung in der Schweiz fördert. Angesichts der aktuellen Situation, ist nur eine Minderheit der kommerziellen Partnerschaften von Influencer:innen transparent deklariert. Deshalb ist es von entscheidender Bedeutung, klare und verbindliche Regeln zu etablieren.
REASONING: Mit der Verbreitung sozialer Medien wie Instagram kam auch der Aufstieg der Influencer:innen (Deutsch: Beeinflusser:innen). Solche Influencer:innen sind für ihre Fans Vorbilder in Sachen Mode, Fitness, Entschlackungstees, Nahrungsergänzungsmittel, Schönheit bzw. Schönheitsprodukte, Kochen etc. Deren Empfehlungen gelten viel und sind der Werbeindustrie darum viel Geld wert. Gemäss einer EU-Untersuchung veröffentlichen 97 Prozent der Influencer:innen kommerzielle Inhalte, jedoch deklarieren nur 20 Prozent diese Partnerschaften transparent. Konsumenten dürfen nicht durch versteckte Werbung getäuscht werden. Umso mehr, wenn die Zielgruppe sehr jung und leicht beeinflussbar ist. Die fehlende Deklaration von Werbung zeigt auf, dass in der aktuellen Situation Handlungsbedarf besteht. D…</t>
        </is>
      </c>
      <c r="F74" s="5" t="inlineStr"/>
      <c r="G74" s="5" t="inlineStr"/>
      <c r="H74" s="6">
        <f>IF(F74="nein","nein",IF(OR(F74="",G74=""),"",IF(AND(F74="ja",G74="Ziel"),"ja",IF(G74="Nebensache","nein","unsicher"))))</f>
        <v/>
      </c>
      <c r="I74" s="7" t="inlineStr"/>
      <c r="J74" s="5" t="inlineStr"/>
    </row>
    <row r="75">
      <c r="A75" t="n">
        <v>74</v>
      </c>
      <c r="B75" t="n">
        <v>201807</v>
      </c>
      <c r="C75" s="2" t="inlineStr">
        <is>
          <t>Bericht über Arbeitsbedingungen und Arbeitsunfälle in der Plattformwirtschaft</t>
        </is>
      </c>
      <c r="D75" s="4" t="inlineStr">
        <is>
          <t>open</t>
        </is>
      </c>
      <c r="E75" s="2" t="inlineStr">
        <is>
          <t>[Official DE version; original is IT] TEXT: Der Bundesrat wird beauftragt, einen Bericht über die Arbeitsbedingungen und Arbeitsunfälle in der Plattformwirtschaft zu erstellen. Der Bericht muss insbesondere Auskunft über die Anzahl und die Art der Arbeitsunfälle sowie über deren Ursachen geben.
REASONING: Seit einigen Jahren sind verschiedene Firmen der Plattformwirtschaft auch in der Schweiz aktiv; andere solche Firmen wurden hier gegründet. Zur Frage, welchen Status die Personen haben, die für diese Plattformen als Fahrerin oder als Kurier arbeiten, wurden mehrere parlamentarische Vorstösse eingereicht. Es gibt jedoch nur wenige Studien und Statistiken zu den Arbeitsbedingungen der Arbeitnehmenden in diesem Sektor in der Schweiz, insbesondere zur Anzahl und zur Art der Arbeitsunfälle. Ich beauftrage den Bundesrat, einen Bericht über diese Kategorie von Arbeitnehmenden, als die sie neu gelten, zu erstellen. Der Bericht muss Angaben enthalten über die Anzahl und die Art der Arbeitsunfälle, zu denen es in diesem Sektor kommt, und soweit möglich über deren Ursachen. Eine französische Studie aus dem Jahr 2021 ergab, dass 25 Prozent der 517 Befragten bereits einen Unfall erlitten hatten und dass diese Unfälle in den meist…</t>
        </is>
      </c>
      <c r="F75" s="5" t="inlineStr"/>
      <c r="G75" s="5" t="inlineStr"/>
      <c r="H75" s="6">
        <f>IF(F75="nein","nein",IF(OR(F75="",G75=""),"",IF(AND(F75="ja",G75="Ziel"),"ja",IF(G75="Nebensache","nein","unsicher"))))</f>
        <v/>
      </c>
      <c r="I75" s="7" t="inlineStr"/>
      <c r="J75" s="5" t="inlineStr"/>
    </row>
    <row r="76">
      <c r="A76" t="n">
        <v>75</v>
      </c>
      <c r="B76" t="n">
        <v>251317</v>
      </c>
      <c r="C76" s="2" t="inlineStr">
        <is>
          <t>Regulierung der Plattformen</t>
        </is>
      </c>
      <c r="D76" s="4" t="inlineStr">
        <is>
          <t>open</t>
        </is>
      </c>
      <c r="E76" s="2" t="inlineStr">
        <is>
          <t>[Official DE version; original is FR] TEXT: Am 16. April 2025 beschloss der Bundesrat, die Botschaft zur Regulierung der Plattformen zu verschieben. In der Zwischenzeit ist fast ein halbes Jahr vergangen, offensichtlich hatte die Verschiebung keine positiven Auswirkungen auf die Höhe der Zölle in den USA für Schweizer Produkte. Wann wird der Bundesrat die Botschaft zu Handen des Parlaments verabschieden?</t>
        </is>
      </c>
      <c r="F76" s="5" t="inlineStr"/>
      <c r="G76" s="5" t="inlineStr"/>
      <c r="H76" s="6">
        <f>IF(F76="nein","nein",IF(OR(F76="",G76=""),"",IF(AND(F76="ja",G76="Ziel"),"ja",IF(G76="Nebensache","nein","unsicher"))))</f>
        <v/>
      </c>
      <c r="I76" s="7" t="inlineStr"/>
      <c r="J76" s="5" t="inlineStr"/>
    </row>
    <row r="77">
      <c r="A77" t="n">
        <v>76</v>
      </c>
      <c r="B77" t="n">
        <v>66348</v>
      </c>
      <c r="C77" s="2" t="inlineStr">
        <is>
          <t>Covid-19. Harte Einschränkungen mit Kaffeesatzlesen rechtfertigen?</t>
        </is>
      </c>
      <c r="D77" s="4" t="inlineStr">
        <is>
          <t>open</t>
        </is>
      </c>
      <c r="E77" s="2" t="inlineStr">
        <is>
          <t>[Official DE version; original is FR] TEXT: Mit dem Argument, harte Massnahmen hätten in der Westschweiz Schlimmeres verhindert, wird nun Werbung für den Teil-Lockdown gemacht. Ist es aus wissenschaftlicher Sicht nicht unredlich zu behaupten, man könne einem Lockdown eine epidemiologische Wirkung zuschreiben, obwohl gemäss COVID Taskforce des Bundes die unterschiedlichen Infektionszahlen der Deutsch- und Westschweiz gar nicht erklärbar sind?
ANSWER: Die Westschweizer Kantone haben früher als die restliche Schweiz einen raschen Anstieg der Fallzahlen erlebt. In der Folge haben viele von ihnen einschränkende Massnahmen eingeführt. In den letzten Wochen verzeichnete die gesamte Westschweiz stark sinkende Fallzahlen. Diese Tendenz ist in den Deutschschweizer Kantonen mit wenig restriktiven Massnahmen nicht festzustellen. Im Gegenteil ist in einigen Regionen sogar ein beunruhigender Wiederanstieg der Infektionszahlen festzustellen. Das Bild ist klar: Die von den stark betroffenen Kantonen ergriffenen Massnahmen haben gewirkt und dort zu einer Trendwende geführt. Kantone mit steigenden oder über längere Zeit auf hohem Niveau stagnierenden Fallzahlen sind deshalb angehalten, ebenfalls weitergehende Massnahmen zu ergreifen.</t>
        </is>
      </c>
      <c r="F77" s="5" t="inlineStr"/>
      <c r="G77" s="5" t="inlineStr"/>
      <c r="H77" s="6">
        <f>IF(F77="nein","nein",IF(OR(F77="",G77=""),"",IF(AND(F77="ja",G77="Ziel"),"ja",IF(G77="Nebensache","nein","unsicher"))))</f>
        <v/>
      </c>
      <c r="I77" s="7" t="inlineStr"/>
      <c r="J77" s="5" t="inlineStr"/>
    </row>
    <row r="78">
      <c r="A78" t="n">
        <v>77</v>
      </c>
      <c r="B78" t="n">
        <v>68517</v>
      </c>
      <c r="C78" s="2" t="inlineStr">
        <is>
          <t>Für eine unabhängige Presse sind die Beträge zur indirekten Förderung anzupassen</t>
        </is>
      </c>
      <c r="D78" s="4" t="inlineStr">
        <is>
          <t>open</t>
        </is>
      </c>
      <c r="E78" s="2" t="inlineStr">
        <is>
          <t>[Official DE version; original is IT] TEXT: Das Postgesetz und die anderen einschlägigen Bestimmungen werden so geändert, dass die indirekte Presseförderung ausgebaut werden kann. Zu ändern ist insbesondere Artikel 16 Absatz 7, und zwar so, dass die indirekte Presseförderung für Zeitungen und Zeitschriften um jährlich 15 Millionen erhöht wird, damit die Ermässigung für deren Zustellung während einer Übergangsphase von sieben Jahren garantiert ist. Gleichzeitig und ebenfalls für einen befristeten Zeitraum ist der Beitrag an die Ermässigung der Zustellung von Mitgliedschafts- und Stiftungspresse um jährlich 10 Millionen zu erhöhen. Zudem soll im Postgesetz neu ein Beitrag an die Frühzustellung während der Woche eingeführt werden. Davon profitieren sollen die Lokal- und Regionalzeitungen mit einer von einem anerkannten unabhängigen Kontrollorgan bestätigten Auflage von zwischen 1000 und 40 000 Exemplaren. Wenn sie zu einem Kopfblatt gehören, darf dessen mittlere Auflage nicht über 100 000 Exemplaren liegen. Dafür stellt der Bund jährlich 30 Millionen Franken bereit. Für die Umsetzung dieser Massnahme sind der Artikel 19a der Fassung des Postgesetzes nach Bundesgesetz vom 18. Juli 2021 über ein Massnahmenpaket zugunsten de…</t>
        </is>
      </c>
      <c r="F78" s="5" t="inlineStr"/>
      <c r="G78" s="5" t="inlineStr"/>
      <c r="H78" s="6">
        <f>IF(F78="nein","nein",IF(OR(F78="",G78=""),"",IF(AND(F78="ja",G78="Ziel"),"ja",IF(G78="Nebensache","nein","unsicher"))))</f>
        <v/>
      </c>
      <c r="I78" s="7" t="inlineStr"/>
      <c r="J78" s="5" t="inlineStr"/>
    </row>
    <row r="79">
      <c r="A79" t="n">
        <v>78</v>
      </c>
      <c r="B79" t="n">
        <v>287659</v>
      </c>
      <c r="C79" s="2" t="inlineStr">
        <is>
          <t>Was unternimmt der Bund gegen illegale Online-Spiele?</t>
        </is>
      </c>
      <c r="D79" s="4" t="inlineStr">
        <is>
          <t>open</t>
        </is>
      </c>
      <c r="E79" s="2" t="inlineStr">
        <is>
          <t>TEXT: Trotz gesetzlicher Zugangssperren können illegale Online-Geldspiele weiterhin relativ einfach umgangen werden. - Was unternimmt der Bundesrat, um die Wirksamkeit dieser Sperren zu erhöhen? - Wie hoch schätzt er die jährlichen Einnahmeverluste für den Bund durch nicht bewilligte Online-Geldspielangebote? - Welche Erkenntnisse liefert die ESBK hierzu?</t>
        </is>
      </c>
      <c r="F79" s="5" t="inlineStr"/>
      <c r="G79" s="5" t="inlineStr"/>
      <c r="H79" s="6">
        <f>IF(F79="nein","nein",IF(OR(F79="",G79=""),"",IF(AND(F79="ja",G79="Ziel"),"ja",IF(G79="Nebensache","nein","unsicher"))))</f>
        <v/>
      </c>
      <c r="I79" s="7" t="inlineStr"/>
      <c r="J79" s="5" t="inlineStr"/>
    </row>
    <row r="80">
      <c r="A80" t="n">
        <v>79</v>
      </c>
      <c r="B80" t="n">
        <v>62377</v>
      </c>
      <c r="C80" s="2" t="inlineStr">
        <is>
          <t>Nationales sicheres Datenverbundsystem. Verpflichtungskredit</t>
        </is>
      </c>
      <c r="D80" s="4" t="inlineStr">
        <is>
          <t>open</t>
        </is>
      </c>
      <c r="E80" s="2" t="inlineStr">
        <is>
          <t xml:space="preserve">[Official DE version; original is IT] </t>
        </is>
      </c>
      <c r="F80" s="5" t="inlineStr"/>
      <c r="G80" s="5" t="inlineStr"/>
      <c r="H80" s="6">
        <f>IF(F80="nein","nein",IF(OR(F80="",G80=""),"",IF(AND(F80="ja",G80="Ziel"),"ja",IF(G80="Nebensache","nein","unsicher"))))</f>
        <v/>
      </c>
      <c r="I80" s="7" t="inlineStr"/>
      <c r="J80" s="5" t="inlineStr"/>
    </row>
    <row r="81">
      <c r="A81" t="n">
        <v>80</v>
      </c>
      <c r="B81" t="n">
        <v>65226</v>
      </c>
      <c r="C81" s="2" t="inlineStr">
        <is>
          <t>Zugang zu unterstützter Kommunikation</t>
        </is>
      </c>
      <c r="D81" s="4" t="inlineStr">
        <is>
          <t>open</t>
        </is>
      </c>
      <c r="E81" s="2" t="inlineStr">
        <is>
          <t>TEXT: Kommunikation dient dem sozialen Austausch, ermöglicht gesellschaftliche Teilhabe und ist damit ein menschliches Grundbedürfnis. Mit der Ratifizierung der UNO-Behindertenrechtskonvention verpflichtete sich die Schweiz, auf individuelle Bedürfnisse abgestimmte Kommunikationsformen und Kommunikationsmittel zu fördern. Für Menschen mit eingeschränkter Lautsprache gibt es die Unterstützte Kommunikation (UK). Das Gelingen der UK hängt u.a. davon ab, ob die passenden Methoden und Hilfsmittel zum Einsatz kommen, ob genügend UK-Fachpersonal in den Institutionen arbeitet und ob das Umfeld UK täglich und in möglichst vielen Lebensbereichen nutzt. Ich bitte den Bundesrat um die Beantwortung folgender Fragen: 1. Wie viele Menschen sind in der Schweiz auf UK angewiesen? Wie sieht die Verteilung aus zwischen Menschen mit leichten und Menschen mit schweren Kommunikationsbeeinträchtigungen u.a. aufgrund von schweren sowie mehrfachen Behinderungen? 2. Was tun Bund und Kantone, um sicherzustellen, dass alle Personen, Kinder und Erwachsene, mit eingeschränkten lautsprachlichen Fähigkeiten während ihres gesamten Lebens in verschiedenen Lebensbereichen wie u.a. Frühbereich, Bildung, Wohnen, Arbei…</t>
        </is>
      </c>
      <c r="F81" s="5" t="inlineStr"/>
      <c r="G81" s="5" t="inlineStr"/>
      <c r="H81" s="6">
        <f>IF(F81="nein","nein",IF(OR(F81="",G81=""),"",IF(AND(F81="ja",G81="Ziel"),"ja",IF(G81="Nebensache","nein","unsicher"))))</f>
        <v/>
      </c>
      <c r="I81" s="7" t="inlineStr"/>
      <c r="J81" s="5" t="inlineStr"/>
    </row>
    <row r="82">
      <c r="A82" t="n">
        <v>81</v>
      </c>
      <c r="B82" t="n">
        <v>66800</v>
      </c>
      <c r="C82" s="2" t="inlineStr">
        <is>
          <t>Massnahmen gegen die illegale Migration (8/9). Datenaustausch bei illegalen Migranten systematisieren</t>
        </is>
      </c>
      <c r="D82" s="4" t="inlineStr">
        <is>
          <t>open</t>
        </is>
      </c>
      <c r="E82" s="2" t="inlineStr">
        <is>
          <t>[Official DE version; original is FR] TEXT: Um die Anwesenheit von illegalen Migranten in der Schweiz dauerhaft zu bekämpfen und wenn immer möglich dauerhaft zu unterbinden, muss der Datenaustausch zwischen Kantonen, Gemeinden, Sozialbehörden, Krankenkassen, AHV, IV und weiteren Sozialversicherungen bezogen auf diese Personen systematisiert werden. So sind sämtliche relevanten Daten von illegalen Migranten betreffend Aufenthaltsstatus, Wohnort, Versicherungsstatus, Prämienzahlungen, Prämienvergünstigungen, Versicherungsleistungen von Krankenkassen, AHV, IV und weiteren Sozialversicherungen auszutauschen und abzugleichen.
REASONING: Je nach Schätzung und Quelle halten sich in der Schweiz bis zu hunderttausend illegale Migranten auf - verharmlosend auch "Sans-Papiers" genannt. Um die Attraktivität der Schweiz für illegale Migranten zu reduzieren, ist es wichtig, dass diese durch einen systematischen Austausch ermittelt und ausgeschafft werden. Gemäss dem Bericht "Gesamthafte Prüfung der Problematik der Sans-Papiers" des Bundesrats, in Erfüllung des Postulats der Staatspolitischen Kommission des Nationalrats vom 12. April 2018 (18.3381), sind heute vor allem Versicherungen und Krankenkassen nicht in der Lage, den Aufenth…</t>
        </is>
      </c>
      <c r="F82" s="5" t="inlineStr"/>
      <c r="G82" s="5" t="inlineStr"/>
      <c r="H82" s="6">
        <f>IF(F82="nein","nein",IF(OR(F82="",G82=""),"",IF(AND(F82="ja",G82="Ziel"),"ja",IF(G82="Nebensache","nein","unsicher"))))</f>
        <v/>
      </c>
      <c r="I82" s="7" t="inlineStr"/>
      <c r="J82" s="5" t="inlineStr"/>
    </row>
    <row r="83">
      <c r="A83" t="n">
        <v>82</v>
      </c>
      <c r="B83" t="n">
        <v>339163</v>
      </c>
      <c r="C83" s="2" t="inlineStr">
        <is>
          <t>Gesetzliche Grundlagen für einen transparenten und sparsamen Ressourcenverbrauch von Rechenzentren</t>
        </is>
      </c>
      <c r="D83" s="4" t="inlineStr">
        <is>
          <t>open</t>
        </is>
      </c>
      <c r="E83" s="2" t="inlineStr">
        <is>
          <t>TEXT: Der Bundesrat wird beauftragt, auf Grundlage von Art. 89 BV, die gesetzlichen Grundlagen für einen transparenten und sparsamen Verbrauch von Ressourcen von grösseren Rechenzentren zu schaffen. Die gesetzlichen Grundlagen sollen folgende Elemente umfassen: Die jährliche Offenlegung von Strom- und Wasserverbrauch Vorgaben zum (schrittweisen) Bezug von Energie aus erneuerbaren Quellen Effizienzstandards, um das ungenutzte Effizienzpotenzial zu realisieren Die Regelung der Nutzung der anfallenden Abwärme
REASONING: Rechenzentren verbrauchten in der Schweiz schon im Jahr 2024 rund 2,1 Terawattstunden Strom, das entspricht 3,6 Prozent des gesamtschweizerischen Stromverbrauchs. Bis 2030 wird laut dem Kurzbericht des Bundesamts für Energie (EnergieSchweiz / TEP Energy, Mai 2026) ein Anstieg auf 2,5 bis 3,2 Terawattstunden erwartet; in einem Hochszenario sogar auf 3,5 Terawattstunden, was einem Plus von 70 Prozent gegenüber heute entspräche. Dieselbe Studie zeigt: Das ungenutzte Energieeffizienzpotenzial in Schweizer Rechenzentren beträgt rund 38 Prozent des aktuellen Verbrauchs. Dieses Potenzial wird durch den Markt bisher nicht ausgeschöpft. Namentlich bei unternehmensinternen Rech…</t>
        </is>
      </c>
      <c r="F83" s="5" t="inlineStr"/>
      <c r="G83" s="5" t="inlineStr"/>
      <c r="H83" s="6">
        <f>IF(F83="nein","nein",IF(OR(F83="",G83=""),"",IF(AND(F83="ja",G83="Ziel"),"ja",IF(G83="Nebensache","nein","unsicher"))))</f>
        <v/>
      </c>
      <c r="I83" s="7" t="inlineStr"/>
      <c r="J83" s="5" t="inlineStr"/>
    </row>
    <row r="84">
      <c r="A84" t="n">
        <v>83</v>
      </c>
      <c r="B84" t="n">
        <v>65483</v>
      </c>
      <c r="C84" s="2" t="inlineStr">
        <is>
          <t>Behindertenfahrdienste. Ein fehlendes Glied in der Mobilitätskette</t>
        </is>
      </c>
      <c r="D84" s="4" t="inlineStr">
        <is>
          <t>open</t>
        </is>
      </c>
      <c r="E84" s="2" t="inlineStr">
        <is>
          <t>[Official DE version; original is FR] TEXT: Der Bundesrat wird beauftragt, in einem Bericht in Ergänzung zum Postulat 20.3874 aufzuzeigen, wie die Angebotslücken der Behindertenfahrdienste ergänzt werden müssen, damit das in der UNO-Behindertenrechtskonvention (UNO-BRK) verankerte Recht von Menschen mit Behinderungen auf persönliche Mobilität mit grösstmöglicher Unabhängigkeit gesetzgeberisch umgesetzt und praktisch eingelöst werden kann. Dabei ist der Fokus auf Menschen zu richten, die öffentliche Verkehrsmittel behinderungsbedingt nicht oder nur eingeschränkt nutzen können. Bei der Erstellung des Berichtes sollen die Perspektiven und Erfahrungen von Menschen mit Behinderungen, die auf Behindertenfahrdienste angewiesen sind, berücksichtigt werden.
REASONING: Mobilität ist eine Grundvoraussetzung für die selbstbestimmte und gleichberechtigte Teilhabe von Menschen mit Behinderungen am gesellschaftlichen Leben. Menschen, die öffentliche Verkehrsmittel behinderungsbedingt nicht oder nur eingeschränkt nutzen können, sind u.a. für Besorgungen des täglichen Lebens, für die Freizeitgestaltung, für die Arbeitstätigkeit und für die medizinische Versorgung auf Behindertentransportdienste angewiesen. Das Behindertengleichstellun…</t>
        </is>
      </c>
      <c r="F84" s="5" t="inlineStr"/>
      <c r="G84" s="5" t="inlineStr"/>
      <c r="H84" s="6">
        <f>IF(F84="nein","nein",IF(OR(F84="",G84=""),"",IF(AND(F84="ja",G84="Ziel"),"ja",IF(G84="Nebensache","nein","unsicher"))))</f>
        <v/>
      </c>
      <c r="I84" s="7" t="inlineStr"/>
      <c r="J84" s="5" t="inlineStr"/>
    </row>
    <row r="85">
      <c r="A85" t="n">
        <v>84</v>
      </c>
      <c r="B85" t="n">
        <v>68999</v>
      </c>
      <c r="C85" s="2" t="inlineStr">
        <is>
          <t>Medikamentenpreise: Wann herrscht endlich Klarheit über die Investitionen der Pharmaunternehmen?</t>
        </is>
      </c>
      <c r="D85" s="4" t="inlineStr">
        <is>
          <t>open</t>
        </is>
      </c>
      <c r="E85" s="2" t="inlineStr">
        <is>
          <t>[Official DE version; original is FR] TEXT: Die Pharmaindustrie führt ihre Forschungs- und Entwicklungskosten als wichtiges Argument an, um ihre hohen Medikamentenpreise zu rechtfertigen. Ihre tatsächlichen Investitionen gibt sie den Behörden aber nicht bekannt. Eine neuere Studie geht von Gewinnmargen zwischen 40 und 90 Prozent aus. Sieht der Bundesrat Massnahmen vor, um die Pharmaunternehmen endlich zu verpflichten, nach dem Beispiel unserer Nachbarländer wie etwa Italien ihre Investitionen zu veröffentlichen?</t>
        </is>
      </c>
      <c r="F85" s="5" t="inlineStr"/>
      <c r="G85" s="5" t="inlineStr"/>
      <c r="H85" s="6">
        <f>IF(F85="nein","nein",IF(OR(F85="",G85=""),"",IF(AND(F85="ja",G85="Ziel"),"ja",IF(G85="Nebensache","nein","unsicher"))))</f>
        <v/>
      </c>
      <c r="I85" s="7" t="inlineStr"/>
      <c r="J85" s="5" t="inlineStr"/>
    </row>
    <row r="86">
      <c r="A86" t="n">
        <v>85</v>
      </c>
      <c r="B86" t="n">
        <v>64898</v>
      </c>
      <c r="C86" s="2" t="inlineStr">
        <is>
          <t>Änderung von Artikel 697l des Obligationenrechts und Zugriff auf das Verzeichnis der wirtschaftlich berechtigten Personen</t>
        </is>
      </c>
      <c r="D86" s="4" t="inlineStr">
        <is>
          <t>open</t>
        </is>
      </c>
      <c r="E86" s="2" t="inlineStr">
        <is>
          <t>[Official DE version; original is FR] TEXT: Das Bundesgesetz vom 21. Juni 2019 zur Umsetzung von Empfehlungen des Global Forum über Transparenz und Informationsaustausch für Steuerzwecke auferlegt die Abschaffung der Inhaberaktien. Darum wird Artikel 697l des Obligationenrechts (OR) weiter vereinfacht: Die Gesellschaft ist nur noch verpflichtet, ein Verzeichnis über die ihr gemeldeten wirtschaftlich berechtigten Personen zu führen. Dieses Verzeichnis bleibt aber sowohl für Aktionärinnen und Aktionäre als auch für Dritte unzugänglich. Um die Einhaltung der GAFI-Empfehlung Nr. 24 sicherzustellen, legt Artikel 697l Absatz 4 OR fest, dass das Verzeichnis so geführt werden muss, dass in der Schweiz jederzeit darauf zugegriffen werden kann. Das Gesetz schweigt sich aber darüber aus, wer das Recht auf Zugriff hat. In der Botschaft zum Bundesgesetz zur Umsetzung der 2012 revidierten GAFI-Empfehlungen war keine Verpflichtung des Verwaltungsrats schweizerischer Gesellschaften, den Behörden solche Verzeichnisse zu liefern, vorgesehen. Eine Ausnahme wurde gemacht für besondere Abklärungen der Staatsanwaltschaft im Zusammenhang mit einem verwaltungsstrafrechtlichen oder einem steuerrechtlichen Verfahren (Steuerhinterziehung). Die E…</t>
        </is>
      </c>
      <c r="F86" s="5" t="inlineStr"/>
      <c r="G86" s="5" t="inlineStr"/>
      <c r="H86" s="6">
        <f>IF(F86="nein","nein",IF(OR(F86="",G86=""),"",IF(AND(F86="ja",G86="Ziel"),"ja",IF(G86="Nebensache","nein","unsicher"))))</f>
        <v/>
      </c>
      <c r="I86" s="7" t="inlineStr"/>
      <c r="J86" s="5" t="inlineStr"/>
    </row>
    <row r="87">
      <c r="A87" t="n">
        <v>86</v>
      </c>
      <c r="B87" t="n">
        <v>280490</v>
      </c>
      <c r="C87" s="2" t="inlineStr">
        <is>
          <t>Voranschlag 2026. Nachtrag II</t>
        </is>
      </c>
      <c r="D87" s="4" t="inlineStr">
        <is>
          <t>open</t>
        </is>
      </c>
      <c r="E87" s="2" t="inlineStr">
        <is>
          <t xml:space="preserve">[Official DE version; original is FR] </t>
        </is>
      </c>
      <c r="F87" s="5" t="inlineStr"/>
      <c r="G87" s="5" t="inlineStr"/>
      <c r="H87" s="6">
        <f>IF(F87="nein","nein",IF(OR(F87="",G87=""),"",IF(AND(F87="ja",G87="Ziel"),"ja",IF(G87="Nebensache","nein","unsicher"))))</f>
        <v/>
      </c>
      <c r="I87" s="7" t="inlineStr"/>
      <c r="J87" s="5" t="inlineStr"/>
    </row>
    <row r="88">
      <c r="A88" t="n">
        <v>87</v>
      </c>
      <c r="B88" t="n">
        <v>155207</v>
      </c>
      <c r="C88" s="2" t="inlineStr">
        <is>
          <t>Monatliche Auszahlung der Erwerbsausfallentschädigung für Dienstleistende in der Schweizer Armee</t>
        </is>
      </c>
      <c r="D88" s="4" t="inlineStr">
        <is>
          <t>open</t>
        </is>
      </c>
      <c r="E88" s="2" t="inlineStr">
        <is>
          <t>[Official DE version; original is FR] TEXT: Die Erwerbsausfallentschädigung (EO) für nichterwerbstätige, selbstständigerwerbende oder in Ausbildung befindliche Dienstleistende in Rekrutenschulen, Durchdiener-Dienstleistungen oder Gradänderungsdiensten wird erstmals erst nach Ablauf von mehr als einem Monat ausbezahlt, teilweise sogar erst nach Ablauf von zwei oder gar drei Monaten. Dies kann die betroffenen Dienstleistenden beziehungsweise deren Eltern in finanzielle Schwierigkeiten bringen. - Ist der Bundesrat bereit, die EO jeweils pünktlich (wie den Lohn für die Angestellten des Bundes) auf den 25. des Monats auszuzahlen? - Falls nein, welche Gründe sprechen dagegen?
ANSWER: Die EO-Entschädigung wird nach Erhalt der vollständigen EO-Anmeldung ausbezahlt. Die Ausgleichskassen sind angewiesen, zeitnah die eingehenden Anmeldungen zu bearbeiten und die Auszahlungen vorzunehmen. Sie haben zu diesem Zweck mehrere Zahlungsläufe im Monat. Verzögerungen können sich durch unvollständig respektive verspätet eingereichte Formulare oder allfällige Abklärungen ergeben. Nach vorliegenden Informationen handelt es sich nur um sehr vereinzelte Fälle. Der Bundesrat erachtet es daher nicht als notwendig, die Bestimmungen anzupassen.</t>
        </is>
      </c>
      <c r="F88" s="5" t="inlineStr"/>
      <c r="G88" s="5" t="inlineStr"/>
      <c r="H88" s="6">
        <f>IF(F88="nein","nein",IF(OR(F88="",G88=""),"",IF(AND(F88="ja",G88="Ziel"),"ja",IF(G88="Nebensache","nein","unsicher"))))</f>
        <v/>
      </c>
      <c r="I88" s="7" t="inlineStr"/>
      <c r="J88" s="5" t="inlineStr"/>
    </row>
    <row r="89">
      <c r="A89" t="n">
        <v>88</v>
      </c>
      <c r="B89" t="n">
        <v>153731</v>
      </c>
      <c r="C89" s="2" t="inlineStr">
        <is>
          <t>Stromspeicher bezüglich Netznutzung technologieneutral und somit gleichbehandeln</t>
        </is>
      </c>
      <c r="D89" s="4" t="inlineStr">
        <is>
          <t>open</t>
        </is>
      </c>
      <c r="E89" s="2" t="inlineStr">
        <is>
          <t>TEXT: Ich bitte den Bundesrat, folgende Fragen zu beantworten: 1. Warum beabsichtigt der Bundesrat, Stromspeicher hinsichtlich der Verrechnung von Netznutzungsentgelten für den Bezug von Elektrizität aus dem Netz gegenüber Pumpspeicherkraftwerken zu diskriminieren - Regulierungsvorgaben sollten technologieneutral sein -? 2. Ist er sich bewusst, dass Stromspeicher beim Umbau des Energiesystems zukünftig eine wichtige Rolle für den Ausgleich zwischen stark fluktuierender und wetterabhängiger erneuerbarer Energie und dem Verbrauch übernehmen müssen? 3. Ist er nicht der Ansicht, dass mit der Belastung von Speichern mit Netznutzungsentgelten auch die Ausnahmeregelung für Pumpspeicherkraftwerke hinterfragt werden muss und gefährdet ist? 4. Ist er sich bewusst, dass er mit dem neuen Artikel 2 Absatz 3 der Stromversorgungsverordnung (StromVV; Speicher gelten für den Bezug als Endverbraucher) einen Widerspruch zu Artikel 4 Absatz 1 Litera b schafft, worin ein Endverbraucher definiert ist als Kunde, der Elektrizität für den eigenen Verbrauch kauft, und somit eine Rechtsunsicherheit?
REASONING: In der Vernehmlassungsvorlage zu den Verordnungen der Strategie Stromnetze ist vorgesehen, dass, w…</t>
        </is>
      </c>
      <c r="F89" s="5" t="inlineStr"/>
      <c r="G89" s="5" t="inlineStr"/>
      <c r="H89" s="6">
        <f>IF(F89="nein","nein",IF(OR(F89="",G89=""),"",IF(AND(F89="ja",G89="Ziel"),"ja",IF(G89="Nebensache","nein","unsicher"))))</f>
        <v/>
      </c>
      <c r="I89" s="7" t="inlineStr"/>
      <c r="J89" s="5" t="inlineStr"/>
    </row>
    <row r="90">
      <c r="A90" t="n">
        <v>89</v>
      </c>
      <c r="B90" t="n">
        <v>155593</v>
      </c>
      <c r="C90" s="2" t="inlineStr">
        <is>
          <t>Satellitensystem Composante Spatiale Optique. Rahmenvereinbarung mit Frankreich</t>
        </is>
      </c>
      <c r="D90" s="4" t="inlineStr">
        <is>
          <t>open</t>
        </is>
      </c>
      <c r="E90" s="2" t="inlineStr">
        <is>
          <t xml:space="preserve">[Official DE version; original is FR] </t>
        </is>
      </c>
      <c r="F90" s="5" t="inlineStr"/>
      <c r="G90" s="5" t="inlineStr"/>
      <c r="H90" s="6">
        <f>IF(F90="nein","nein",IF(OR(F90="",G90=""),"",IF(AND(F90="ja",G90="Ziel"),"ja",IF(G90="Nebensache","nein","unsicher"))))</f>
        <v/>
      </c>
      <c r="I90" s="7" t="inlineStr"/>
      <c r="J90" s="5" t="inlineStr"/>
    </row>
    <row r="91">
      <c r="A91" t="n">
        <v>90</v>
      </c>
      <c r="B91" t="n">
        <v>153295</v>
      </c>
      <c r="C91" s="2" t="inlineStr">
        <is>
          <t>Vereinbarkeit von Familie und Beruf stärken. Mehr familienergänzende Betreuungsplätze dank geteilter Finanzierung</t>
        </is>
      </c>
      <c r="D91" s="4" t="inlineStr">
        <is>
          <t>open</t>
        </is>
      </c>
      <c r="E91" s="2" t="inlineStr">
        <is>
          <t>[Official DE version; original is FR] TEXT: Der Bundesrat wird aufgefordert zu prüfen, ob zur dauerhaften Finanzierung eines bedarfsgerechten Angebotes an familien- und schulergänzenden Betreuungsplätzen ein Modell mit folgenden Eckpfeilern ausgearbeitet werden kann: Jedes Kind, dessen Eltern aufgrund von Erwerbsarbeit, ausgewiesener Freiwilligenarbeit oder Ausbildung/Weiterbildung die Betreuung nicht selber sicherstellen können, hat bis zum Ende der obligatorischen Schulzeit Anrecht auf einen Betreuungsgutschein. Dieser deckt mindestens zwei Drittel der Vollkosten eines vom Kanton anerkannten Betreuungsplatzes. Gemeinden, Kantone, Bund und Unternehmen mit mehr als 250 Angestellten sind gemeinsam verantwortlich, dass genügend Betreuungsplätze zur Verfügung stehen und finanziert werden.
REASONING: Für viele Eltern ist es heute schlicht zu teuer, ihre Kinder professionell betreuen zu lassen. Kitas, Spielgruppen und Tagesfamilien werden mehrheitlich über Elternbeiträge finanziert - im Durchschnitt beträgt der Elternanteil bei den Kitas je nach Kanton und Gemeinde rund zwei Drittel der Vollkosten; bei den Spielgruppen sind es sogar bis zu drei Viertel. Eltern in der Schweiz zahlen deutlich mehr für einen Kita-Platz als in…</t>
        </is>
      </c>
      <c r="F91" s="5" t="inlineStr"/>
      <c r="G91" s="5" t="inlineStr"/>
      <c r="H91" s="6">
        <f>IF(F91="nein","nein",IF(OR(F91="",G91=""),"",IF(AND(F91="ja",G91="Ziel"),"ja",IF(G91="Nebensache","nein","unsicher"))))</f>
        <v/>
      </c>
      <c r="I91" s="7" t="inlineStr"/>
      <c r="J91" s="5" t="inlineStr"/>
    </row>
  </sheetData>
  <dataValidations count="2">
    <dataValidation sqref="F2:F91" showDropDown="0" showInputMessage="0" showErrorMessage="0" allowBlank="1" type="list">
      <formula1>"ja,nein,unsicher"</formula1>
    </dataValidation>
    <dataValidation sqref="G2:G91" showDropDown="0" showInputMessage="0" showErrorMessage="0" allowBlank="1" type="list">
      <formula1>"Ziel,Nebensache,unsicher"</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40" customWidth="1" min="1" max="1"/>
  </cols>
  <sheetData>
    <row r="1">
      <c r="A1" s="2" t="inlineStr">
        <is>
          <t># Definition: "Digitalisation"</t>
        </is>
      </c>
    </row>
    <row r="2">
      <c r="A2" s="2" t="inlineStr"/>
    </row>
    <row r="3">
      <c r="A3" s="2" t="inlineStr">
        <is>
          <t>**Method:** derived from how PolitMonitor actually tagged the 3,433 affairs in `politmonitor_digitalisierung.csv` (AI-assisted analysis by the partner, expert-reviewed), not from the challenge slides. Where the slides and PolitMonitor differ, this definition follows PolitMonitor, because PolitMonitor is the ground truth we are measured against.</t>
        </is>
      </c>
    </row>
    <row r="4">
      <c r="A4" s="2" t="inlineStr"/>
    </row>
    <row r="5">
      <c r="A5" s="2" t="inlineStr">
        <is>
          <t>**Known difference from the slides:** PolitMonitor counts Swiss Post, SRG and the radio/TV licence fee as digitalisation, although the slides list them as "not digital". We follow PolitMonitor.</t>
        </is>
      </c>
    </row>
    <row r="6">
      <c r="A6" s="2" t="inlineStr"/>
    </row>
    <row r="7">
      <c r="A7" s="2" t="inlineStr">
        <is>
          <t>## Definition</t>
        </is>
      </c>
    </row>
    <row r="8">
      <c r="A8" s="2" t="inlineStr"/>
    </row>
    <row r="9">
      <c r="A9" s="2" t="inlineStr">
        <is>
          <t>An affair is about digitalisation if it deals with digital technology, data or telecommunications, or with their effects on government, the economy, education, media or society. This includes their use, regulation, infrastructure, security and social consequences. The digital aspect does not have to be the only topic, but it must be a central part of the affair, not a passing mention.</t>
        </is>
      </c>
    </row>
    <row r="10">
      <c r="A10" s="2" t="inlineStr"/>
    </row>
    <row r="11">
      <c r="A11" s="2" t="inlineStr">
        <is>
          <t>PolitMonitor uses a broad definition. It includes telecom infrastructure, media and public broadcasting, and the Swiss Post where services move online or are affected by digitalisation.</t>
        </is>
      </c>
    </row>
    <row r="12">
      <c r="A12" s="2" t="inlineStr"/>
    </row>
    <row r="13">
      <c r="A13" s="2" t="inlineStr">
        <is>
          <t>## Borderline cases (decided as PolitMonitor did)</t>
        </is>
      </c>
    </row>
    <row r="14">
      <c r="A14" s="2" t="inlineStr"/>
    </row>
    <row r="15">
      <c r="A15" s="2" t="inlineStr">
        <is>
          <t>Counts are approximate, from the partner's AI-assisted analysis of the list; they are supporting evidence, not reported results.</t>
        </is>
      </c>
    </row>
    <row r="16">
      <c r="A16" s="2" t="inlineStr"/>
    </row>
    <row r="17">
      <c r="A17" s="2" t="inlineStr">
        <is>
          <t>| Case | Decision | Evidence from the list |</t>
        </is>
      </c>
    </row>
    <row r="18">
      <c r="A18" s="2" t="inlineStr">
        <is>
          <t>|---|---|---|</t>
        </is>
      </c>
    </row>
    <row r="19">
      <c r="A19" s="2" t="inlineStr">
        <is>
          <t>| Cybersecurity, cybercrime | Yes | ~150 affairs |</t>
        </is>
      </c>
    </row>
    <row r="20">
      <c r="A20" s="2" t="inlineStr">
        <is>
          <t>| Artificial intelligence, deepfakes, algorithms | Yes | ~170 affairs |</t>
        </is>
      </c>
    </row>
    <row r="21">
      <c r="A21" s="2" t="inlineStr">
        <is>
          <t>| Data protection (incl. general data protection law, data protection officer) | Yes | ~145 affairs |</t>
        </is>
      </c>
    </row>
    <row r="22">
      <c r="A22" s="2" t="inlineStr">
        <is>
          <t>| E-voting | Yes | 57 affairs |</t>
        </is>
      </c>
    </row>
    <row r="23">
      <c r="A23" s="2" t="inlineStr">
        <is>
          <t>| E-ID | Yes | 30 affairs |</t>
        </is>
      </c>
    </row>
    <row r="24">
      <c r="A24" s="2" t="inlineStr">
        <is>
          <t>| E-government, digital administration, open data | Yes | ~50 affairs |</t>
        </is>
      </c>
    </row>
    <row r="25">
      <c r="A25" s="2" t="inlineStr">
        <is>
          <t>| Mobile networks, 5G, broadband, fibre (incl. antenna permits, 5G health concerns) | Yes | ~115 affairs |</t>
        </is>
      </c>
    </row>
    <row r="26">
      <c r="A26" s="2" t="inlineStr">
        <is>
          <t>| Digital education (devices, digital teaching material, computer science, smartphone bans) | Yes | ~120 affairs |</t>
        </is>
      </c>
    </row>
    <row r="27">
      <c r="A27" s="2" t="inlineStr">
        <is>
          <t>| Digital health (electronic patient record, health data) | Yes | frequent |</t>
        </is>
      </c>
    </row>
    <row r="28">
      <c r="A28" s="2" t="inlineStr">
        <is>
          <t>| Media and public broadcasting (SRG, radio/TV licence fee, online platforms, online hate speech) | Yes | ~58 SRG/radio/TV affairs |</t>
        </is>
      </c>
    </row>
    <row r="29">
      <c r="A29" s="2" t="inlineStr">
        <is>
          <t>| Swiss Post (digital services, e-voting by Post, parcel deals with platforms, home service changes) | Yes | 37 affairs |</t>
        </is>
      </c>
    </row>
    <row r="30">
      <c r="A30" s="2" t="inlineStr">
        <is>
          <t>| Energy use of data centres and AI | Yes | ~12 affairs |</t>
        </is>
      </c>
    </row>
    <row r="31">
      <c r="A31" s="2" t="inlineStr">
        <is>
          <t>| Energy, solar or economy in general, no digital link | No | only rare noise |</t>
        </is>
      </c>
    </row>
    <row r="32">
      <c r="A32" s="2" t="inlineStr">
        <is>
          <t>| Education, labour or budget in general, no digital link | No | only rare noise |</t>
        </is>
      </c>
    </row>
    <row r="33">
      <c r="A33" s="2" t="inlineStr"/>
    </row>
    <row r="34">
      <c r="A34" s="2" t="inlineStr">
        <is>
          <t>**Rule for unclear cases:** If digital technology, data or telecom is a central part of what the affair asks or regulates → Yes. If it is only mentioned in passing → No.</t>
        </is>
      </c>
    </row>
    <row r="35">
      <c r="A35" s="2" t="inlineStr"/>
    </row>
    <row r="36">
      <c r="A36" s="2" t="inlineStr">
        <is>
          <t>## Note for the evaluation</t>
        </is>
      </c>
    </row>
    <row r="37">
      <c r="A37" s="2" t="inlineStr"/>
    </row>
    <row r="38">
      <c r="A38" s="2" t="inlineStr">
        <is>
          <t>About one third of the tagged affairs (~1,100) have no digital keyword in the title. Most are still digital in the full text, but some look like tagging noise (e.g. "Archivgesetz", "Geschäftsbericht 2018").</t>
        </is>
      </c>
    </row>
    <row r="39">
      <c r="A39" s="2" t="inlineStr"/>
    </row>
    <row r="40">
      <c r="A40" s="2" t="inlineStr">
        <is>
          <t>Disagreements go to blind expert review **in both directions** (model yes / PolitMonitor no, and model no / PolitMonitor yes). The reviewer sees only the affair text, never which side said what. The review rules are fixed before results are seen, and metrics are reported before and after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2026-10-18T15:11:13Z</dcterms:created>
  <dcterms:modified xsi:type="dcterms:W3CDTF">2026-10-18T15:11:13Z</dcterms:modified>
</cp:coreProperties>
</file>